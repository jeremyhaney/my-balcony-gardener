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4447cb5f8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55db2391264a30"/>
    <x:sheet xmlns:r="http://schemas.openxmlformats.org/officeDocument/2006/relationships" name="As-Built BOM" sheetId="2" r:id="R12b2ffe3754e457e"/>
    <x:sheet xmlns:r="http://schemas.openxmlformats.org/officeDocument/2006/relationships" name="Sensor Mapping" sheetId="3" r:id="R32f7f1c7a3d14f67"/>
    <x:sheet xmlns:r="http://schemas.openxmlformats.org/officeDocument/2006/relationships" name="Lists" sheetId="4" r:id="R0d7e141d1984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.0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i/>
      <x:sz val="11"/>
      <x:color rgb="FF1F2937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i/>
      <x:sz val="11"/>
      <x:color rgb="FF1F2937"/>
      <x:name val="Aptos"/>
    </x:font>
    <x:font>
      <x:b/>
      <x:sz val="17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2E8B57"/>
      </x:patternFill>
    </x:fill>
    <x:fill>
      <x:patternFill patternType="solid">
        <x:fgColor rgb="FFEAF7EE"/>
      </x:patternFill>
    </x:fill>
    <x:fill>
      <x:patternFill patternType="solid">
        <x:fgColor rgb="FFFFF4CC"/>
      </x:patternFill>
    </x:fill>
    <x:fill>
      <x:patternFill patternType="solid">
        <x:fgColor rgb="FFE7ECEA"/>
      </x:patternFill>
    </x:fill>
  </x:fills>
  <x:borders count="24">
    <x:border/>
    <x:border>
      <x:left style="thin">
        <x:color rgb="FF9FB8AA"/>
      </x:left>
      <x:top style="thin">
        <x:color rgb="FF9FB8AA"/>
      </x:top>
    </x:border>
    <x:border>
      <x:right style="thin">
        <x:color rgb="FF9FB8AA"/>
      </x:right>
      <x:top style="thin">
        <x:color rgb="FF9FB8AA"/>
      </x:top>
    </x:border>
    <x:border>
      <x:left style="thin">
        <x:color rgb="FF9FB8AA"/>
      </x:left>
    </x:border>
    <x:border>
      <x:right style="thin">
        <x:color rgb="FF9FB8AA"/>
      </x:right>
    </x:border>
    <x:border>
      <x:left style="thin">
        <x:color rgb="FF9FB8AA"/>
      </x:left>
      <x:bottom style="thin">
        <x:color rgb="FF9FB8AA"/>
      </x:bottom>
    </x:border>
    <x:border>
      <x:right style="thin">
        <x:color rgb="FF9FB8AA"/>
      </x:right>
      <x:bottom style="thin">
        <x:color rgb="FF9FB8AA"/>
      </x:bottom>
    </x:border>
    <x:border>
      <x:left style="thin">
        <x:color rgb="FFC7A83B"/>
      </x:left>
      <x:top style="thin">
        <x:color rgb="FFC7A83B"/>
      </x:top>
    </x:border>
    <x:border>
      <x:top style="thin">
        <x:color rgb="FFC7A83B"/>
      </x:top>
    </x:border>
    <x:border>
      <x:right style="thin">
        <x:color rgb="FFC7A83B"/>
      </x:right>
      <x:top style="thin">
        <x:color rgb="FFC7A83B"/>
      </x:top>
    </x:border>
    <x:border>
      <x:left style="thin">
        <x:color rgb="FFC7A83B"/>
      </x:left>
    </x:border>
    <x:border>
      <x:right style="thin">
        <x:color rgb="FFC7A83B"/>
      </x:right>
    </x:border>
    <x:border>
      <x:left style="thin">
        <x:color rgb="FFC7A83B"/>
      </x:left>
      <x:bottom style="thin">
        <x:color rgb="FFC7A83B"/>
      </x:bottom>
    </x:border>
    <x:border>
      <x:bottom style="thin">
        <x:color rgb="FFC7A83B"/>
      </x:bottom>
    </x:border>
    <x:border>
      <x:right style="thin">
        <x:color rgb="FFC7A83B"/>
      </x:right>
      <x:bottom style="thin">
        <x:color rgb="FFC7A83B"/>
      </x:bottom>
    </x:border>
    <x:border>
      <x:right style="thin">
        <x:color rgb="FFD5DEDA"/>
      </x:right>
      <x:bottom style="thin">
        <x:color rgb="FFD5DEDA"/>
      </x:bottom>
    </x:border>
    <x:border>
      <x:left style="thin">
        <x:color rgb="FFD5DEDA"/>
      </x:left>
      <x:right style="thin">
        <x:color rgb="FFD5DEDA"/>
      </x:right>
      <x:bottom style="thin">
        <x:color rgb="FFD5DEDA"/>
      </x:bottom>
    </x:border>
    <x:border>
      <x:left style="thin">
        <x:color rgb="FFD5DEDA"/>
      </x:left>
      <x:bottom style="thin">
        <x:color rgb="FFD5DEDA"/>
      </x:bottom>
    </x:border>
    <x:border>
      <x:right style="thin">
        <x:color rgb="FFD5DEDA"/>
      </x:right>
      <x:top style="thin">
        <x:color rgb="FFD5DEDA"/>
      </x:top>
      <x:bottom style="thin">
        <x:color rgb="FFD5DEDA"/>
      </x:bottom>
    </x:border>
    <x:border>
      <x:left style="thin">
        <x:color rgb="FFD5DEDA"/>
      </x:left>
      <x:right style="thin">
        <x:color rgb="FFD5DEDA"/>
      </x:right>
      <x:top style="thin">
        <x:color rgb="FFD5DEDA"/>
      </x:top>
      <x:bottom style="thin">
        <x:color rgb="FFD5DEDA"/>
      </x:bottom>
    </x:border>
    <x:border>
      <x:left style="thin">
        <x:color rgb="FFD5DEDA"/>
      </x:left>
      <x:top style="thin">
        <x:color rgb="FFD5DEDA"/>
      </x:top>
      <x:bottom style="thin">
        <x:color rgb="FFD5DEDA"/>
      </x:bottom>
    </x:border>
    <x:border>
      <x:right style="thin">
        <x:color rgb="FFD5DEDA"/>
      </x:right>
      <x:top style="thin">
        <x:color rgb="FFD5DEDA"/>
      </x:top>
    </x:border>
    <x:border>
      <x:left style="thin">
        <x:color rgb="FFD5DEDA"/>
      </x:left>
      <x:right style="thin">
        <x:color rgb="FFD5DEDA"/>
      </x:right>
      <x:top style="thin">
        <x:color rgb="FFD5DEDA"/>
      </x:top>
    </x:border>
    <x:border>
      <x:left style="thin">
        <x:color rgb="FFD5DEDA"/>
      </x:left>
      <x:top style="thin">
        <x:color rgb="FFD5DEDA"/>
      </x:top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2" xfId="0" applyNumberFormat="1" applyFont="1" applyFill="1" applyBorder="1"/>
    <x:xf numFmtId="0" fontId="2" fillId="3" borderId="3" xfId="0" applyNumberFormat="1" applyFont="1" applyFill="1" applyBorder="1"/>
    <x:xf numFmtId="200" fontId="3" fillId="4" borderId="4" xfId="0" applyNumberFormat="1" applyFont="1" applyFill="1" applyBorder="1"/>
    <x:xf numFmtId="0" fontId="3" fillId="4" borderId="4" xfId="0" applyNumberFormat="1" applyFont="1" applyFill="1" applyBorder="1"/>
    <x:xf numFmtId="0" fontId="2" fillId="3" borderId="5" xfId="0" applyNumberFormat="1" applyFont="1" applyFill="1" applyBorder="1"/>
    <x:xf numFmtId="201" fontId="3" fillId="4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3" fillId="5" borderId="10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vertical="top" wrapText="1"/>
    </x:xf>
    <x:xf numFmtId="0" fontId="3" fillId="5" borderId="12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vertical="top" wrapText="1"/>
    </x:xf>
    <x:xf numFmtId="0" fontId="3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/>
    <x:xf numFmtId="0" fontId="8" fillId="4" borderId="2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3" xfId="0" applyNumberFormat="1" applyFont="1" applyFill="1" applyBorder="1"/>
    <x:xf numFmtId="200" fontId="8" fillId="4" borderId="4" xfId="0" applyNumberFormat="1" applyFont="1" applyFill="1" applyBorder="1"/>
    <x:xf numFmtId="0" fontId="8" fillId="5" borderId="1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1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/>
    <x:xf numFmtId="0" fontId="7" fillId="3" borderId="5" xfId="0" applyNumberFormat="1" applyFont="1" applyFill="1" applyBorder="1"/>
    <x:xf numFmtId="201" fontId="8" fillId="4" borderId="6" xfId="0" applyNumberFormat="1" applyFont="1" applyFill="1" applyBorder="1"/>
    <x:xf numFmtId="0" fontId="8" fillId="5" borderId="12" xfId="0" applyNumberFormat="1" applyFont="1" applyFill="1" applyBorder="1" applyAlignment="1">
      <x:alignment vertical="top" wrapText="1"/>
    </x:xf>
    <x:xf numFmtId="0" fontId="8" fillId="5" borderId="13" xfId="0" applyNumberFormat="1" applyFont="1" applyFill="1" applyBorder="1" applyAlignment="1">
      <x:alignment vertical="top" wrapText="1"/>
    </x:xf>
    <x:xf numFmtId="0" fontId="8" fillId="5" borderId="14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2" fontId="0" fillId="0" borderId="19" xfId="0" applyNumberFormat="1" applyFont="1" applyFill="1" applyBorder="1"/>
    <x:xf numFmtId="0" fontId="0" fillId="5" borderId="19" xfId="0" applyNumberFormat="1" applyFont="1" applyFill="1" applyBorder="1"/>
    <x:xf numFmtId="201" fontId="0" fillId="5" borderId="19" xfId="0" applyNumberFormat="1" applyFont="1" applyFill="1" applyBorder="1"/>
    <x:xf numFmtId="201" fontId="0" fillId="0" borderId="19" xfId="0" applyNumberFormat="1" applyFont="1" applyFill="1" applyBorder="1"/>
    <x:xf numFmtId="200" fontId="0" fillId="5" borderId="19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2" fontId="0" fillId="0" borderId="22" xfId="0" applyNumberFormat="1" applyFont="1" applyFill="1" applyBorder="1"/>
    <x:xf numFmtId="0" fontId="0" fillId="5" borderId="22" xfId="0" applyNumberFormat="1" applyFont="1" applyFill="1" applyBorder="1"/>
    <x:xf numFmtId="201" fontId="0" fillId="5" borderId="22" xfId="0" applyNumberFormat="1" applyFont="1" applyFill="1" applyBorder="1"/>
    <x:xf numFmtId="201" fontId="0" fillId="0" borderId="22" xfId="0" applyNumberFormat="1" applyFont="1" applyFill="1" applyBorder="1"/>
    <x:xf numFmtId="200" fontId="0" fillId="5" borderId="22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11" fillId="3" borderId="15" xfId="0" applyNumberFormat="1" applyFont="1" applyFill="1" applyBorder="1" applyAlignment="1">
      <x:alignment vertical="center" wrapText="1"/>
    </x:xf>
    <x:xf numFmtId="0" fontId="11" fillId="3" borderId="16" xfId="0" applyNumberFormat="1" applyFont="1" applyFill="1" applyBorder="1" applyAlignment="1">
      <x:alignment vertical="center" wrapText="1"/>
    </x:xf>
    <x:xf numFmtId="0" fontId="11" fillId="3" borderId="17" xfId="0" applyNumberFormat="1" applyFont="1" applyFill="1" applyBorder="1" applyAlignment="1">
      <x:alignment vertical="center" wrapText="1"/>
    </x:xf>
    <x:xf numFmtId="0" fontId="12" fillId="0" borderId="18" xfId="0" applyNumberFormat="1" applyFont="1" applyFill="1" applyBorder="1"/>
    <x:xf numFmtId="0" fontId="12" fillId="0" borderId="19" xfId="0" applyNumberFormat="1" applyFont="1" applyFill="1" applyBorder="1"/>
    <x:xf numFmtId="202" fontId="12" fillId="0" borderId="19" xfId="0" applyNumberFormat="1" applyFont="1" applyFill="1" applyBorder="1"/>
    <x:xf numFmtId="0" fontId="12" fillId="5" borderId="19" xfId="0" applyNumberFormat="1" applyFont="1" applyFill="1" applyBorder="1"/>
    <x:xf numFmtId="201" fontId="12" fillId="5" borderId="19" xfId="0" applyNumberFormat="1" applyFont="1" applyFill="1" applyBorder="1"/>
    <x:xf numFmtId="201" fontId="12" fillId="0" borderId="19" xfId="0" applyNumberFormat="1" applyFont="1" applyFill="1" applyBorder="1"/>
    <x:xf numFmtId="200" fontId="12" fillId="5" borderId="19" xfId="0" applyNumberFormat="1" applyFont="1" applyFill="1" applyBorder="1"/>
    <x:xf numFmtId="0" fontId="12" fillId="0" borderId="20" xfId="0" applyNumberFormat="1" applyFont="1" applyFill="1" applyBorder="1" applyAlignment="1">
      <x:alignment wrapText="1"/>
    </x:xf>
    <x:xf numFmtId="0" fontId="12" fillId="0" borderId="21" xfId="0" applyNumberFormat="1" applyFont="1" applyFill="1" applyBorder="1"/>
    <x:xf numFmtId="0" fontId="12" fillId="0" borderId="22" xfId="0" applyNumberFormat="1" applyFont="1" applyFill="1" applyBorder="1"/>
    <x:xf numFmtId="202" fontId="12" fillId="0" borderId="22" xfId="0" applyNumberFormat="1" applyFont="1" applyFill="1" applyBorder="1"/>
    <x:xf numFmtId="0" fontId="12" fillId="5" borderId="22" xfId="0" applyNumberFormat="1" applyFont="1" applyFill="1" applyBorder="1"/>
    <x:xf numFmtId="201" fontId="12" fillId="5" borderId="22" xfId="0" applyNumberFormat="1" applyFont="1" applyFill="1" applyBorder="1"/>
    <x:xf numFmtId="201" fontId="12" fillId="0" borderId="22" xfId="0" applyNumberFormat="1" applyFont="1" applyFill="1" applyBorder="1"/>
    <x:xf numFmtId="200" fontId="12" fillId="5" borderId="22" xfId="0" applyNumberFormat="1" applyFont="1" applyFill="1" applyBorder="1"/>
    <x:xf numFmtId="0" fontId="12" fillId="0" borderId="23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12" fillId="5" borderId="0" xfId="0" applyNumberFormat="1" applyFont="1" applyFill="1" applyBorder="1"/>
    <x:xf numFmtId="201" fontId="12" fillId="5" borderId="0" xfId="0" applyNumberFormat="1" applyFont="1" applyFill="1" applyBorder="1"/>
    <x:xf numFmtId="201" fontId="12" fillId="0" borderId="0" xfId="0" applyNumberFormat="1" applyFont="1" applyFill="1" applyBorder="1"/>
    <x:xf numFmtId="200" fontId="12" fillId="5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0" fillId="0" borderId="20" xfId="0" applyNumberFormat="1" applyFont="1" applyFill="1" applyBorder="1"/>
    <x:xf numFmtId="0" fontId="0" fillId="0" borderId="23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/>
    </x:xf>
    <x:xf numFmtId="0" fontId="11" fillId="3" borderId="15" xfId="0" applyNumberFormat="1" applyFont="1" applyFill="1" applyBorder="1" applyAlignment="1">
      <x:alignment wrapText="1"/>
    </x:xf>
    <x:xf numFmtId="0" fontId="11" fillId="3" borderId="16" xfId="0" applyNumberFormat="1" applyFont="1" applyFill="1" applyBorder="1" applyAlignment="1">
      <x:alignment wrapText="1"/>
    </x:xf>
    <x:xf numFmtId="0" fontId="11" fillId="3" borderId="17" xfId="0" applyNumberFormat="1" applyFont="1" applyFill="1" applyBorder="1" applyAlignment="1">
      <x:alignment wrapText="1"/>
    </x:xf>
    <x:xf numFmtId="0" fontId="12" fillId="0" borderId="18" xfId="0" applyNumberFormat="1" applyFont="1" applyFill="1" applyBorder="1" applyAlignment="1">
      <x:alignment wrapText="1"/>
    </x:xf>
    <x:xf numFmtId="0" fontId="12" fillId="0" borderId="19" xfId="0" applyNumberFormat="1" applyFont="1" applyFill="1" applyBorder="1" applyAlignment="1">
      <x:alignment wrapText="1"/>
    </x:xf>
    <x:xf numFmtId="0" fontId="12" fillId="0" borderId="21" xfId="0" applyNumberFormat="1" applyFont="1" applyFill="1" applyBorder="1" applyAlignment="1">
      <x:alignment wrapText="1"/>
    </x:xf>
    <x:xf numFmtId="0" fontId="12" fillId="0" borderId="22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08c8103024e6f" /><Relationship Type="http://schemas.openxmlformats.org/officeDocument/2006/relationships/theme" Target="/xl/theme/theme1.xml" Id="Rb4e24bf3bd5b468b" /><Relationship Type="http://schemas.openxmlformats.org/officeDocument/2006/relationships/sharedStrings" Target="/xl/sharedStrings.xml" Id="R0f37f19b002e4f7e" /><Relationship Type="http://schemas.openxmlformats.org/officeDocument/2006/relationships/worksheet" Target="/xl/worksheets/sheet1.xml" Id="Rf055db2391264a30" /><Relationship Type="http://schemas.openxmlformats.org/officeDocument/2006/relationships/worksheet" Target="/xl/worksheets/sheet2.xml" Id="R12b2ffe3754e457e" /><Relationship Type="http://schemas.openxmlformats.org/officeDocument/2006/relationships/worksheet" Target="/xl/worksheets/sheet3.xml" Id="R32f7f1c7a3d14f67" /><Relationship Type="http://schemas.openxmlformats.org/officeDocument/2006/relationships/worksheet" Target="/xl/worksheets/sheet4.xml" Id="R0d7e141d19844093" /><Relationship Type="http://schemas.microsoft.com/office/2017/10/relationships/person" Target="/xl/persons/person.xml" Id="R9044df1b67604951" /></Relationships>
</file>

<file path=xl/persons/person.xml><?xml version="1.0" encoding="utf-8"?>
<xltc:personList xmlns:xltc="http://schemas.microsoft.com/office/spreadsheetml/2018/threadedcomments">
  <xltc:person displayName="Jeremy" id="{07297440-85EB-41D9-ADAE-993C6C09A8E1}"/>
</xltc:personList>
</file>

<file path=xl/tables/table1.xml><?xml version="1.0" encoding="utf-8"?>
<x:table xmlns:x="http://schemas.openxmlformats.org/spreadsheetml/2006/main" id="1" name="Balcony02BOM" displayName="Balcony02BOM" ref="A4:N30" headerRowCount="1" totalsRowCount="0" totalsRowShown="0">
  <x:tableColumns count="14">
    <x:tableColumn id="1" name="Item ID"/>
    <x:tableColumn id="2" name="Category"/>
    <x:tableColumn id="3" name="Component / Description"/>
    <x:tableColumn id="4" name="Qty"/>
    <x:tableColumn id="5" name="Make"/>
    <x:tableColumn id="6" name="Model / SKU"/>
    <x:tableColumn id="7" name="Serial / Physical Marking"/>
    <x:tableColumn id="8" name="Installed Location"/>
    <x:tableColumn id="9" name="Supplier / Source"/>
    <x:tableColumn id="10" name="Unit Cost"/>
    <x:tableColumn id="11" name="Extended Cost"/>
    <x:tableColumn id="12" name="Purchase Date"/>
    <x:tableColumn id="13" name="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lcony02SensorMapping" displayName="Balcony02SensorMapping" ref="A3:G12" headerRowCount="1" totalsRowCount="0" totalsRowShown="0">
  <x:tableColumns count="7">
    <x:tableColumn id="1" name="Actual Location"/>
    <x:tableColumn id="2" name="Function"/>
    <x:tableColumn id="3" name="Physical Marking"/>
    <x:tableColumn id="4" name="Firmware / Telemetry Identity"/>
    <x:tableColumn id="5" name="Connection"/>
    <x:tableColumn id="6" name="Customer-Facing Label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f72861d77e43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0fa7a5a5d643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33" t="str">
        <x:v>Balcony02 As-Built BOM &amp; Cost Workbook</x:v>
      </x:c>
      <x:c r="B1" s="33"/>
      <x:c r="C1" s="33"/>
      <x:c r="D1" s="33"/>
      <x:c r="E1" s="33"/>
      <x:c r="F1" s="33"/>
      <x:c r="G1" s="33"/>
      <x:c r="H1" s="33"/>
    </x:row>
    <x:row r="2" ht="24" customHeight="1">
      <x:c r="A2" s="33"/>
      <x:c r="B2" s="33"/>
      <x:c r="C2" s="33"/>
      <x:c r="D2" s="33"/>
      <x:c r="E2" s="33"/>
      <x:c r="F2" s="33"/>
      <x:c r="G2" s="33"/>
      <x:c r="H2" s="33"/>
    </x:row>
    <x:row r="3" ht="24" customHeight="1">
      <x:c r="A3" s="34"/>
      <x:c r="B3" s="34"/>
      <x:c r="C3" s="34"/>
      <x:c r="D3" s="34"/>
      <x:c r="E3" s="34"/>
      <x:c r="F3" s="34"/>
      <x:c r="G3" s="34"/>
      <x:c r="H3" s="34"/>
    </x:row>
    <x:row r="4" ht="24" customHeight="1">
      <x:c r="A4" s="35" t="str">
        <x:v>Device</x:v>
      </x:c>
      <x:c r="B4" s="36" t="str">
        <x:v>Balcony02</x:v>
      </x:c>
      <x:c r="C4" s="34"/>
      <x:c r="D4" s="37" t="str">
        <x:v>How to use</x:v>
      </x:c>
      <x:c r="E4" s="38"/>
      <x:c r="F4" s="38"/>
      <x:c r="G4" s="38"/>
      <x:c r="H4" s="39"/>
    </x:row>
    <x:row r="5" ht="24" customHeight="1">
      <x:c r="A5" s="40" t="str">
        <x:v>Commissioned</x:v>
      </x:c>
      <x:c r="B5" s="41" t="n">
        <x:v>46246.625</x:v>
      </x:c>
      <x:c r="C5" s="34"/>
      <x:c r="D5" s="42" t="str">
        <x:v>Complete the yellow cells in the As-Built BOM. Enter make, model/SKU, serial or physical marking, supplier, purchase details, and unit cost where known. Extended cost and summary totals calculate automatically. The Sensor Mapping sheet is already populated with the authoritative physical-marking, firmware-identity, and customer-facing location cross-reference.</x:v>
      </x:c>
      <x:c r="E5" s="43"/>
      <x:c r="F5" s="43"/>
      <x:c r="G5" s="43"/>
      <x:c r="H5" s="44"/>
    </x:row>
    <x:row r="6" ht="24" customHeight="1">
      <x:c r="A6" s="40" t="str">
        <x:v>Build profile</x:v>
      </x:c>
      <x:c r="B6" s="45" t="str">
        <x:v>balcony02-gen2</x:v>
      </x:c>
      <x:c r="C6" s="34"/>
      <x:c r="D6" s="42"/>
      <x:c r="E6" s="43"/>
      <x:c r="F6" s="43"/>
      <x:c r="G6" s="43"/>
      <x:c r="H6" s="44"/>
    </x:row>
    <x:row r="7" ht="24" customHeight="1">
      <x:c r="A7" s="40" t="str">
        <x:v>Status</x:v>
      </x:c>
      <x:c r="B7" s="45" t="str">
        <x:v>Physical commissioning complete</x:v>
      </x:c>
      <x:c r="C7" s="34"/>
      <x:c r="D7" s="42"/>
      <x:c r="E7" s="43"/>
      <x:c r="F7" s="43"/>
      <x:c r="G7" s="43"/>
      <x:c r="H7" s="44"/>
    </x:row>
    <x:row r="8" ht="24" customHeight="1">
      <x:c r="A8" s="40" t="str">
        <x:v>BOM line items</x:v>
      </x:c>
      <x:c r="B8" s="45" t="n">
        <x:f>COUNTA('As-Built BOM'!$A$5:$A$104)</x:f>
        <x:v>26</x:v>
      </x:c>
      <x:c r="C8" s="34"/>
      <x:c r="D8" s="42"/>
      <x:c r="E8" s="43"/>
      <x:c r="F8" s="43"/>
      <x:c r="G8" s="43"/>
      <x:c r="H8" s="44"/>
    </x:row>
    <x:row r="9" ht="24" customHeight="1">
      <x:c r="A9" s="40" t="str">
        <x:v>Priced line items</x:v>
      </x:c>
      <x:c r="B9" s="45" t="n">
        <x:f>COUNT('As-Built BOM'!$J$5:$J$104)</x:f>
        <x:v>0</x:v>
      </x:c>
      <x:c r="C9" s="34"/>
      <x:c r="D9" s="42"/>
      <x:c r="E9" s="43"/>
      <x:c r="F9" s="43"/>
      <x:c r="G9" s="43"/>
      <x:c r="H9" s="44"/>
    </x:row>
    <x:row r="10" ht="24" customHeight="1">
      <x:c r="A10" s="46" t="str">
        <x:v>Estimated total</x:v>
      </x:c>
      <x:c r="B10" s="47" t="n">
        <x:f>SUM('As-Built BOM'!$K$5:$K$104)</x:f>
        <x:v>0</x:v>
      </x:c>
      <x:c r="C10" s="34"/>
      <x:c r="D10" s="48"/>
      <x:c r="E10" s="49"/>
      <x:c r="F10" s="49"/>
      <x:c r="G10" s="49"/>
      <x:c r="H10" s="50"/>
    </x:row>
    <x:row r="11" ht="24" customHeight="1">
      <x:c r="A11" s="34"/>
      <x:c r="B11" s="34"/>
      <x:c r="C11" s="34"/>
      <x:c r="D11" s="34"/>
      <x:c r="E11" s="34"/>
      <x:c r="F11" s="34"/>
      <x:c r="G11" s="34"/>
      <x:c r="H11" s="34"/>
    </x:row>
    <x:row r="12" ht="24" customHeight="1">
      <x:c r="A12" s="51" t="str">
        <x:v>Commissioning and pricing are separate: incomplete BOM fields do not reopen or delay physical commissioning closeout.</x:v>
      </x:c>
      <x:c r="B12" s="51"/>
      <x:c r="C12" s="51"/>
      <x:c r="D12" s="51"/>
      <x:c r="E12" s="51"/>
      <x:c r="F12" s="51"/>
      <x:c r="G12" s="51"/>
      <x:c r="H12" s="51"/>
    </x:row>
  </x:sheetData>
  <x:mergeCells>
    <x:mergeCell ref="A1:H2"/>
    <x:mergeCell ref="D4:H4"/>
    <x:mergeCell ref="D5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34" hidden="0" customWidth="1"/>
    <x:col min="4" max="4" width="8" hidden="0" customWidth="1"/>
    <x:col min="5" max="5" width="17" hidden="0" customWidth="1"/>
    <x:col min="6" max="6" width="24" hidden="0" customWidth="1"/>
    <x:col min="7" max="7" width="23" hidden="0" customWidth="1"/>
    <x:col min="8" max="8" width="24" hidden="0" customWidth="1"/>
    <x:col min="9" max="9" width="20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38" hidden="0" customWidth="1"/>
  </x:cols>
  <x:sheetData>
    <x:row r="1" ht="28" customHeight="1">
      <x:c r="A1" s="53" t="str">
        <x:v>Balcony02 As-Built Bill of Materials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</x:row>
    <x:row r="3" ht="28" customHeight="1">
      <x:c r="A3" s="55" t="str">
        <x:v>Yellow cells are intended for completion. Add rows as needed; preserve stable Item IDs. Enter numeric quantities and costs so totals remain usable.</x:v>
      </x:c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</x:row>
    <x:row r="4" ht="22" customHeight="1">
      <x:c r="A4" s="83" t="str">
        <x:v>Item ID</x:v>
      </x:c>
      <x:c r="B4" s="84" t="str">
        <x:v>Category</x:v>
      </x:c>
      <x:c r="C4" s="84" t="str">
        <x:v>Component / Description</x:v>
      </x:c>
      <x:c r="D4" s="84" t="str">
        <x:v>Qty</x:v>
      </x:c>
      <x:c r="E4" s="84" t="str">
        <x:v>Make</x:v>
      </x:c>
      <x:c r="F4" s="84" t="str">
        <x:v>Model / SKU</x:v>
      </x:c>
      <x:c r="G4" s="84" t="str">
        <x:v>Serial / Physical Marking</x:v>
      </x:c>
      <x:c r="H4" s="84" t="str">
        <x:v>Installed Location</x:v>
      </x:c>
      <x:c r="I4" s="84" t="str">
        <x:v>Supplier / Source</x:v>
      </x:c>
      <x:c r="J4" s="84" t="str">
        <x:v>Unit Cost</x:v>
      </x:c>
      <x:c r="K4" s="84" t="str">
        <x:v>Extended Cost</x:v>
      </x:c>
      <x:c r="L4" s="84" t="str">
        <x:v>Purchase Date</x:v>
      </x:c>
      <x:c r="M4" s="84" t="str">
        <x:v>Status</x:v>
      </x:c>
      <x:c r="N4" s="85" t="str">
        <x:v>Notes</x:v>
      </x:c>
    </x:row>
    <x:row r="5" ht="22" customHeight="1">
      <x:c r="A5" s="86" t="str">
        <x:v>B02-001</x:v>
      </x:c>
      <x:c r="B5" s="87" t="str">
        <x:v>Controller</x:v>
      </x:c>
      <x:c r="C5" s="87" t="str">
        <x:v>ESP32 development board</x:v>
      </x:c>
      <x:c r="D5" s="88" t="n">
        <x:v>1</x:v>
      </x:c>
      <x:c r="E5" s="89" t="str"/>
      <x:c r="F5" s="89" t="str"/>
      <x:c r="G5" s="89" t="str"/>
      <x:c r="H5" s="87" t="str">
        <x:v>Controller enclosure</x:v>
      </x:c>
      <x:c r="I5" s="89" t="str"/>
      <x:c r="J5" s="90" t="str"/>
      <x:c r="K5" s="91" t="str">
        <x:f>IF(OR(D5="",J5=""),"",D5*J5)</x:f>
      </x:c>
      <x:c r="L5" s="92" t="str"/>
      <x:c r="M5" s="87" t="str">
        <x:v>Installed</x:v>
      </x:c>
      <x:c r="N5" s="93" t="str">
        <x:v>Record exact board variant</x:v>
      </x:c>
    </x:row>
    <x:row r="6" ht="22" customHeight="1">
      <x:c r="A6" s="86" t="str">
        <x:v>B02-002</x:v>
      </x:c>
      <x:c r="B6" s="87" t="str">
        <x:v>Controller</x:v>
      </x:c>
      <x:c r="C6" s="87" t="str">
        <x:v>TCA9548A I2C multiplexer</x:v>
      </x:c>
      <x:c r="D6" s="88" t="n">
        <x:v>1</x:v>
      </x:c>
      <x:c r="E6" s="89" t="str"/>
      <x:c r="F6" s="89" t="str">
        <x:v>TCA9548A</x:v>
      </x:c>
      <x:c r="G6" s="89" t="str"/>
      <x:c r="H6" s="87" t="str">
        <x:v>Controller enclosure</x:v>
      </x:c>
      <x:c r="I6" s="89" t="str"/>
      <x:c r="J6" s="90" t="str"/>
      <x:c r="K6" s="91" t="str">
        <x:f>IF(OR(D6="",J6=""),"",D6*J6)</x:f>
      </x:c>
      <x:c r="L6" s="92" t="str"/>
      <x:c r="M6" s="87" t="str">
        <x:v>Installed</x:v>
      </x:c>
      <x:c r="N6" s="93" t="str">
        <x:v>Address 0x70</x:v>
      </x:c>
    </x:row>
    <x:row r="7" ht="22" customHeight="1">
      <x:c r="A7" s="86" t="str">
        <x:v>B02-003</x:v>
      </x:c>
      <x:c r="B7" s="87" t="str">
        <x:v>Controller</x:v>
      </x:c>
      <x:c r="C7" s="87" t="str">
        <x:v>External 16-bit ADC module</x:v>
      </x:c>
      <x:c r="D7" s="88" t="n">
        <x:v>1</x:v>
      </x:c>
      <x:c r="E7" s="89" t="str"/>
      <x:c r="F7" s="89" t="str">
        <x:v>ADS1115</x:v>
      </x:c>
      <x:c r="G7" s="89" t="str"/>
      <x:c r="H7" s="87" t="str">
        <x:v>Controller enclosure</x:v>
      </x:c>
      <x:c r="I7" s="89" t="str"/>
      <x:c r="J7" s="90" t="str"/>
      <x:c r="K7" s="91" t="str">
        <x:f>IF(OR(D7="",J7=""),"",D7*J7)</x:f>
      </x:c>
      <x:c r="L7" s="92" t="str"/>
      <x:c r="M7" s="87" t="str">
        <x:v>Installed</x:v>
      </x:c>
      <x:c r="N7" s="93" t="str">
        <x:v>Address 0x48; mux channel 0</x:v>
      </x:c>
    </x:row>
    <x:row r="8" ht="22" customHeight="1">
      <x:c r="A8" s="86" t="str">
        <x:v>B02-004</x:v>
      </x:c>
      <x:c r="B8" s="87" t="str">
        <x:v>Sensor</x:v>
      </x:c>
      <x:c r="C8" s="87" t="str">
        <x:v>Air temperature / humidity / pressure sensor</x:v>
      </x:c>
      <x:c r="D8" s="88" t="n">
        <x:v>1</x:v>
      </x:c>
      <x:c r="E8" s="89" t="str"/>
      <x:c r="F8" s="89" t="str">
        <x:v>BME280</x:v>
      </x:c>
      <x:c r="G8" s="89" t="str">
        <x:v>Red PCB edges</x:v>
      </x:c>
      <x:c r="H8" s="87" t="str">
        <x:v>Near controller</x:v>
      </x:c>
      <x:c r="I8" s="89" t="str"/>
      <x:c r="J8" s="90" t="str"/>
      <x:c r="K8" s="91" t="str">
        <x:f>IF(OR(D8="",J8=""),"",D8*J8)</x:f>
      </x:c>
      <x:c r="L8" s="92" t="str"/>
      <x:c r="M8" s="87" t="str">
        <x:v>Installed</x:v>
      </x:c>
      <x:c r="N8" s="93" t="str">
        <x:v>Mux channel 4; address 0x76</x:v>
      </x:c>
    </x:row>
    <x:row r="9" ht="22" customHeight="1">
      <x:c r="A9" s="86" t="str">
        <x:v>B02-005</x:v>
      </x:c>
      <x:c r="B9" s="87" t="str">
        <x:v>Sensor</x:v>
      </x:c>
      <x:c r="C9" s="87" t="str">
        <x:v>Basket 3 soil temperature sensor</x:v>
      </x:c>
      <x:c r="D9" s="88" t="n">
        <x:v>1</x:v>
      </x:c>
      <x:c r="E9" s="89" t="str"/>
      <x:c r="F9" s="89" t="str">
        <x:v>DS18B20</x:v>
      </x:c>
      <x:c r="G9" s="89" t="str">
        <x:v>ST04</x:v>
      </x:c>
      <x:c r="H9" s="87" t="str">
        <x:v>Basket 3</x:v>
      </x:c>
      <x:c r="I9" s="89" t="str"/>
      <x:c r="J9" s="90" t="str"/>
      <x:c r="K9" s="91" t="str">
        <x:f>IF(OR(D9="",J9=""),"",D9*J9)</x:f>
      </x:c>
      <x:c r="L9" s="92" t="str"/>
      <x:c r="M9" s="87" t="str">
        <x:v>Installed</x:v>
      </x:c>
      <x:c r="N9" s="93" t="str">
        <x:v>GPIO27; OneWire</x:v>
      </x:c>
    </x:row>
    <x:row r="10" ht="22" customHeight="1">
      <x:c r="A10" s="86" t="str">
        <x:v>B02-006</x:v>
      </x:c>
      <x:c r="B10" s="87" t="str">
        <x:v>Sensor</x:v>
      </x:c>
      <x:c r="C10" s="87" t="str">
        <x:v>Basket 1 soil moisture sensor</x:v>
      </x:c>
      <x:c r="D10" s="88" t="n">
        <x:v>1</x:v>
      </x:c>
      <x:c r="E10" s="89" t="str">
        <x:v>DFRobot</x:v>
      </x:c>
      <x:c r="F10" s="89" t="str">
        <x:v>SEN0308</x:v>
      </x:c>
      <x:c r="G10" s="89" t="str">
        <x:v>M1</x:v>
      </x:c>
      <x:c r="H10" s="87" t="str">
        <x:v>Basket 1</x:v>
      </x:c>
      <x:c r="I10" s="89" t="str"/>
      <x:c r="J10" s="90" t="str"/>
      <x:c r="K10" s="91" t="str">
        <x:f>IF(OR(D10="",J10=""),"",D10*J10)</x:f>
      </x:c>
      <x:c r="L10" s="92" t="str"/>
      <x:c r="M10" s="87" t="str">
        <x:v>Installed</x:v>
      </x:c>
      <x:c r="N10" s="93" t="str">
        <x:v>B02 M01; ADS1115 A0</x:v>
      </x:c>
    </x:row>
    <x:row r="11" ht="22" customHeight="1">
      <x:c r="A11" s="86" t="str">
        <x:v>B02-007</x:v>
      </x:c>
      <x:c r="B11" s="87" t="str">
        <x:v>Sensor</x:v>
      </x:c>
      <x:c r="C11" s="87" t="str">
        <x:v>Basket 3 soil moisture sensor</x:v>
      </x:c>
      <x:c r="D11" s="88" t="n">
        <x:v>1</x:v>
      </x:c>
      <x:c r="E11" s="89" t="str">
        <x:v>DFRobot</x:v>
      </x:c>
      <x:c r="F11" s="89" t="str">
        <x:v>SEN0308</x:v>
      </x:c>
      <x:c r="G11" s="89" t="str">
        <x:v>M4</x:v>
      </x:c>
      <x:c r="H11" s="87" t="str">
        <x:v>Basket 3</x:v>
      </x:c>
      <x:c r="I11" s="89" t="str"/>
      <x:c r="J11" s="90" t="str"/>
      <x:c r="K11" s="91" t="str">
        <x:f>IF(OR(D11="",J11=""),"",D11*J11)</x:f>
      </x:c>
      <x:c r="L11" s="92" t="str"/>
      <x:c r="M11" s="87" t="str">
        <x:v>Installed</x:v>
      </x:c>
      <x:c r="N11" s="93" t="str">
        <x:v>B02 M02; ADS1115 A1</x:v>
      </x:c>
    </x:row>
    <x:row r="12" ht="22" customHeight="1">
      <x:c r="A12" s="86" t="str">
        <x:v>B02-008</x:v>
      </x:c>
      <x:c r="B12" s="87" t="str">
        <x:v>Sensor</x:v>
      </x:c>
      <x:c r="C12" s="87" t="str">
        <x:v>Basket 6 soil moisture sensor</x:v>
      </x:c>
      <x:c r="D12" s="88" t="n">
        <x:v>1</x:v>
      </x:c>
      <x:c r="E12" s="89" t="str">
        <x:v>DFRobot</x:v>
      </x:c>
      <x:c r="F12" s="89" t="str">
        <x:v>SEN0308</x:v>
      </x:c>
      <x:c r="G12" s="89" t="str">
        <x:v>M3</x:v>
      </x:c>
      <x:c r="H12" s="87" t="str">
        <x:v>Basket 6</x:v>
      </x:c>
      <x:c r="I12" s="89" t="str"/>
      <x:c r="J12" s="90" t="str"/>
      <x:c r="K12" s="91" t="str">
        <x:f>IF(OR(D12="",J12=""),"",D12*J12)</x:f>
      </x:c>
      <x:c r="L12" s="92" t="str"/>
      <x:c r="M12" s="87" t="str">
        <x:v>Installed</x:v>
      </x:c>
      <x:c r="N12" s="93" t="str">
        <x:v>B02 M03; ADS1115 A2</x:v>
      </x:c>
    </x:row>
    <x:row r="13" ht="22" customHeight="1">
      <x:c r="A13" s="86" t="str">
        <x:v>B02-009</x:v>
      </x:c>
      <x:c r="B13" s="87" t="str">
        <x:v>Sensor</x:v>
      </x:c>
      <x:c r="C13" s="87" t="str">
        <x:v>Basket 1 ambient-light sensor</x:v>
      </x:c>
      <x:c r="D13" s="88" t="n">
        <x:v>1</x:v>
      </x:c>
      <x:c r="E13" s="89" t="str">
        <x:v>DFRobot</x:v>
      </x:c>
      <x:c r="F13" s="89" t="str">
        <x:v>SEN0562</x:v>
      </x:c>
      <x:c r="G13" s="89" t="str">
        <x:v>L02</x:v>
      </x:c>
      <x:c r="H13" s="87" t="str">
        <x:v>Basket 1</x:v>
      </x:c>
      <x:c r="I13" s="89" t="str"/>
      <x:c r="J13" s="90" t="str"/>
      <x:c r="K13" s="91" t="str">
        <x:f>IF(OR(D13="",J13=""),"",D13*J13)</x:f>
      </x:c>
      <x:c r="L13" s="92" t="str"/>
      <x:c r="M13" s="87" t="str">
        <x:v>Installed</x:v>
      </x:c>
      <x:c r="N13" s="93" t="str">
        <x:v>B02 L01; mux channel 1</x:v>
      </x:c>
    </x:row>
    <x:row r="14" ht="22" customHeight="1">
      <x:c r="A14" s="86" t="str">
        <x:v>B02-010</x:v>
      </x:c>
      <x:c r="B14" s="87" t="str">
        <x:v>Sensor</x:v>
      </x:c>
      <x:c r="C14" s="87" t="str">
        <x:v>Basket 3 ambient-light sensor</x:v>
      </x:c>
      <x:c r="D14" s="88" t="n">
        <x:v>1</x:v>
      </x:c>
      <x:c r="E14" s="89" t="str">
        <x:v>DFRobot</x:v>
      </x:c>
      <x:c r="F14" s="89" t="str">
        <x:v>SEN0562</x:v>
      </x:c>
      <x:c r="G14" s="89" t="str">
        <x:v>L03</x:v>
      </x:c>
      <x:c r="H14" s="87" t="str">
        <x:v>Basket 3</x:v>
      </x:c>
      <x:c r="I14" s="89" t="str"/>
      <x:c r="J14" s="90" t="str"/>
      <x:c r="K14" s="91" t="str">
        <x:f>IF(OR(D14="",J14=""),"",D14*J14)</x:f>
      </x:c>
      <x:c r="L14" s="92" t="str"/>
      <x:c r="M14" s="87" t="str">
        <x:v>Installed</x:v>
      </x:c>
      <x:c r="N14" s="93" t="str">
        <x:v>B02 L02; mux channel 2</x:v>
      </x:c>
    </x:row>
    <x:row r="15" ht="22" customHeight="1">
      <x:c r="A15" s="86" t="str">
        <x:v>B02-011</x:v>
      </x:c>
      <x:c r="B15" s="87" t="str">
        <x:v>Sensor</x:v>
      </x:c>
      <x:c r="C15" s="87" t="str">
        <x:v>Basket 6 ambient-light sensor</x:v>
      </x:c>
      <x:c r="D15" s="88" t="n">
        <x:v>1</x:v>
      </x:c>
      <x:c r="E15" s="89" t="str">
        <x:v>DFRobot</x:v>
      </x:c>
      <x:c r="F15" s="89" t="str">
        <x:v>SEN0562</x:v>
      </x:c>
      <x:c r="G15" s="89" t="str">
        <x:v>L01</x:v>
      </x:c>
      <x:c r="H15" s="87" t="str">
        <x:v>Basket 6</x:v>
      </x:c>
      <x:c r="I15" s="89" t="str"/>
      <x:c r="J15" s="90" t="str"/>
      <x:c r="K15" s="91" t="str">
        <x:f>IF(OR(D15="",J15=""),"",D15*J15)</x:f>
      </x:c>
      <x:c r="L15" s="92" t="str"/>
      <x:c r="M15" s="87" t="str">
        <x:v>Installed</x:v>
      </x:c>
      <x:c r="N15" s="93" t="str">
        <x:v>B02 L03; mux channel 3</x:v>
      </x:c>
    </x:row>
    <x:row r="16" ht="22" customHeight="1">
      <x:c r="A16" s="86" t="str">
        <x:v>B02-012</x:v>
      </x:c>
      <x:c r="B16" s="87" t="str">
        <x:v>Sensor</x:v>
      </x:c>
      <x:c r="C16" s="87" t="str">
        <x:v>Reservoir liquid-level sensor and interface</x:v>
      </x:c>
      <x:c r="D16" s="88" t="n">
        <x:v>1</x:v>
      </x:c>
      <x:c r="E16" s="89" t="str">
        <x:v>DFRobot</x:v>
      </x:c>
      <x:c r="F16" s="89" t="str">
        <x:v>SEN0204</x:v>
      </x:c>
      <x:c r="G16" s="89" t="str">
        <x:v>Unlabeled</x:v>
      </x:c>
      <x:c r="H16" s="87" t="str">
        <x:v>Reservoir / relay enclosure</x:v>
      </x:c>
      <x:c r="I16" s="89" t="str"/>
      <x:c r="J16" s="90" t="str"/>
      <x:c r="K16" s="91" t="str">
        <x:f>IF(OR(D16="",J16=""),"",D16*J16)</x:f>
      </x:c>
      <x:c r="L16" s="92" t="str"/>
      <x:c r="M16" s="87" t="str">
        <x:v>Installed</x:v>
      </x:c>
      <x:c r="N16" s="93" t="str">
        <x:v>WL01; GPIO26; watering interlock</x:v>
      </x:c>
    </x:row>
    <x:row r="17" ht="22" customHeight="1">
      <x:c r="A17" s="86" t="str">
        <x:v>B02-013</x:v>
      </x:c>
      <x:c r="B17" s="87" t="str">
        <x:v>Control</x:v>
      </x:c>
      <x:c r="C17" s="87" t="str">
        <x:v>Relay module</x:v>
      </x:c>
      <x:c r="D17" s="88" t="n">
        <x:v>1</x:v>
      </x:c>
      <x:c r="E17" s="89" t="str"/>
      <x:c r="F17" s="89" t="str"/>
      <x:c r="G17" s="89" t="str"/>
      <x:c r="H17" s="87" t="str">
        <x:v>Relay enclosure</x:v>
      </x:c>
      <x:c r="I17" s="89" t="str"/>
      <x:c r="J17" s="90" t="str"/>
      <x:c r="K17" s="91" t="str">
        <x:f>IF(OR(D17="",J17=""),"",D17*J17)</x:f>
      </x:c>
      <x:c r="L17" s="92" t="str"/>
      <x:c r="M17" s="87" t="str">
        <x:v>Installed</x:v>
      </x:c>
      <x:c r="N17" s="93" t="str">
        <x:v>GPIO25 control; pump through COM/NO</x:v>
      </x:c>
    </x:row>
    <x:row r="18" ht="22" customHeight="1">
      <x:c r="A18" s="86" t="str">
        <x:v>B02-014</x:v>
      </x:c>
      <x:c r="B18" s="87" t="str">
        <x:v>Hydraulic</x:v>
      </x:c>
      <x:c r="C18" s="87" t="str">
        <x:v>12 V diaphragm pump</x:v>
      </x:c>
      <x:c r="D18" s="88" t="n">
        <x:v>1</x:v>
      </x:c>
      <x:c r="E18" s="89" t="str">
        <x:v>SEAFLO</x:v>
      </x:c>
      <x:c r="F18" s="89" t="str">
        <x:v>SFDP1-012-035-21</x:v>
      </x:c>
      <x:c r="G18" s="89" t="str"/>
      <x:c r="H18" s="87" t="str">
        <x:v>Reservoir assembly</x:v>
      </x:c>
      <x:c r="I18" s="89" t="str"/>
      <x:c r="J18" s="90" t="str"/>
      <x:c r="K18" s="91" t="str">
        <x:f>IF(OR(D18="",J18=""),"",D18*J18)</x:f>
      </x:c>
      <x:c r="L18" s="92" t="str"/>
      <x:c r="M18" s="87" t="str">
        <x:v>Installed</x:v>
      </x:c>
      <x:c r="N18" s="93" t="str">
        <x:v>1.2 GPM open flow; 35 PSI; 4 A max</x:v>
      </x:c>
    </x:row>
    <x:row r="19" ht="22" customHeight="1">
      <x:c r="A19" s="86" t="str">
        <x:v>B02-015</x:v>
      </x:c>
      <x:c r="B19" s="87" t="str">
        <x:v>Power</x:v>
      </x:c>
      <x:c r="C19" s="87" t="str">
        <x:v>12 V DC power supply</x:v>
      </x:c>
      <x:c r="D19" s="88" t="n">
        <x:v>1</x:v>
      </x:c>
      <x:c r="E19" s="89" t="str"/>
      <x:c r="F19" s="89" t="str"/>
      <x:c r="G19" s="89" t="str"/>
      <x:c r="H19" s="87" t="str">
        <x:v>Balcony installation</x:v>
      </x:c>
      <x:c r="I19" s="89" t="str"/>
      <x:c r="J19" s="90" t="str"/>
      <x:c r="K19" s="91" t="str">
        <x:f>IF(OR(D19="",J19=""),"",D19*J19)</x:f>
      </x:c>
      <x:c r="L19" s="92" t="str"/>
      <x:c r="M19" s="87" t="str">
        <x:v>Installed</x:v>
      </x:c>
      <x:c r="N19" s="93" t="str">
        <x:v>Record rated output</x:v>
      </x:c>
    </x:row>
    <x:row r="20" ht="22" customHeight="1">
      <x:c r="A20" s="86" t="str">
        <x:v>B02-016</x:v>
      </x:c>
      <x:c r="B20" s="87" t="str">
        <x:v>Power</x:v>
      </x:c>
      <x:c r="C20" s="87" t="str">
        <x:v>Inline fuse holder and fuse</x:v>
      </x:c>
      <x:c r="D20" s="88" t="n">
        <x:v>1</x:v>
      </x:c>
      <x:c r="E20" s="89" t="str"/>
      <x:c r="F20" s="89" t="str"/>
      <x:c r="G20" s="89" t="str"/>
      <x:c r="H20" s="87" t="str">
        <x:v>Relay/pump power path</x:v>
      </x:c>
      <x:c r="I20" s="89" t="str"/>
      <x:c r="J20" s="90" t="str"/>
      <x:c r="K20" s="91" t="str">
        <x:f>IF(OR(D20="",J20=""),"",D20*J20)</x:f>
      </x:c>
      <x:c r="L20" s="92" t="str"/>
      <x:c r="M20" s="87" t="str">
        <x:v>Installed</x:v>
      </x:c>
      <x:c r="N20" s="93" t="str">
        <x:v>Record fuse rating</x:v>
      </x:c>
    </x:row>
    <x:row r="21" ht="22" customHeight="1">
      <x:c r="A21" s="86" t="str">
        <x:v>B02-017</x:v>
      </x:c>
      <x:c r="B21" s="87" t="str">
        <x:v>Power</x:v>
      </x:c>
      <x:c r="C21" s="87" t="str">
        <x:v>Pump flyback/suppression diode</x:v>
      </x:c>
      <x:c r="D21" s="88" t="n">
        <x:v>1</x:v>
      </x:c>
      <x:c r="E21" s="89" t="str"/>
      <x:c r="F21" s="89" t="str"/>
      <x:c r="G21" s="89" t="str"/>
      <x:c r="H21" s="87" t="str">
        <x:v>Across pump conductors</x:v>
      </x:c>
      <x:c r="I21" s="89" t="str"/>
      <x:c r="J21" s="90" t="str"/>
      <x:c r="K21" s="91" t="str">
        <x:f>IF(OR(D21="",J21=""),"",D21*J21)</x:f>
      </x:c>
      <x:c r="L21" s="92" t="str"/>
      <x:c r="M21" s="87" t="str">
        <x:v>Installed</x:v>
      </x:c>
      <x:c r="N21" s="93" t="str">
        <x:v>Record final diode part number</x:v>
      </x:c>
    </x:row>
    <x:row r="22" ht="22" customHeight="1">
      <x:c r="A22" s="86" t="str">
        <x:v>B02-018</x:v>
      </x:c>
      <x:c r="B22" s="87" t="str">
        <x:v>Power</x:v>
      </x:c>
      <x:c r="C22" s="87" t="str">
        <x:v>16 AWG stranded copper pump extension wire</x:v>
      </x:c>
      <x:c r="D22" s="88" t="n">
        <x:v>6</x:v>
      </x:c>
      <x:c r="E22" s="89" t="str"/>
      <x:c r="F22" s="89" t="str"/>
      <x:c r="G22" s="89" t="str"/>
      <x:c r="H22" s="87" t="str">
        <x:v>Relay box to pump</x:v>
      </x:c>
      <x:c r="I22" s="89" t="str"/>
      <x:c r="J22" s="90" t="str"/>
      <x:c r="K22" s="91" t="str">
        <x:f>IF(OR(D22="",J22=""),"",D22*J22)</x:f>
      </x:c>
      <x:c r="L22" s="92" t="str"/>
      <x:c r="M22" s="87" t="str">
        <x:v>Installed</x:v>
      </x:c>
      <x:c r="N22" s="93" t="str">
        <x:v>Approximate total conductor feet; correct if needed</x:v>
      </x:c>
    </x:row>
    <x:row r="23" ht="22" customHeight="1">
      <x:c r="A23" s="86" t="str">
        <x:v>B02-019</x:v>
      </x:c>
      <x:c r="B23" s="87" t="str">
        <x:v>Enclosure</x:v>
      </x:c>
      <x:c r="C23" s="87" t="str">
        <x:v>Controller weather-resistant enclosure</x:v>
      </x:c>
      <x:c r="D23" s="88" t="n">
        <x:v>1</x:v>
      </x:c>
      <x:c r="E23" s="89" t="str">
        <x:v>Zulkit</x:v>
      </x:c>
      <x:c r="F23" s="89" t="str">
        <x:v>150 x 150 x 90 mm ABS IP65</x:v>
      </x:c>
      <x:c r="G23" s="89" t="str"/>
      <x:c r="H23" s="87" t="str">
        <x:v>House wall</x:v>
      </x:c>
      <x:c r="I23" s="89" t="str"/>
      <x:c r="J23" s="90" t="str"/>
      <x:c r="K23" s="91" t="str">
        <x:f>IF(OR(D23="",J23=""),"",D23*J23)</x:f>
      </x:c>
      <x:c r="L23" s="92" t="str"/>
      <x:c r="M23" s="87" t="str">
        <x:v>Installed</x:v>
      </x:c>
      <x:c r="N23" s="93" t="str">
        <x:v>Clear hinged cover</x:v>
      </x:c>
    </x:row>
    <x:row r="24" ht="22" customHeight="1">
      <x:c r="A24" s="86" t="str">
        <x:v>B02-020</x:v>
      </x:c>
      <x:c r="B24" s="87" t="str">
        <x:v>Enclosure</x:v>
      </x:c>
      <x:c r="C24" s="87" t="str">
        <x:v>Relay / level-interface enclosure</x:v>
      </x:c>
      <x:c r="D24" s="88" t="n">
        <x:v>1</x:v>
      </x:c>
      <x:c r="E24" s="89" t="str"/>
      <x:c r="F24" s="89" t="str"/>
      <x:c r="G24" s="89" t="str"/>
      <x:c r="H24" s="87" t="str">
        <x:v>Reservoir assembly</x:v>
      </x:c>
      <x:c r="I24" s="89" t="str"/>
      <x:c r="J24" s="90" t="str"/>
      <x:c r="K24" s="91" t="str">
        <x:f>IF(OR(D24="",J24=""),"",D24*J24)</x:f>
      </x:c>
      <x:c r="L24" s="92" t="str"/>
      <x:c r="M24" s="87" t="str">
        <x:v>Installed</x:v>
      </x:c>
      <x:c r="N24" s="93" t="str">
        <x:v>Record exact make/model and dimensions</x:v>
      </x:c>
    </x:row>
    <x:row r="25" ht="22" customHeight="1">
      <x:c r="A25" s="86" t="str">
        <x:v>B02-021</x:v>
      </x:c>
      <x:c r="B25" s="87" t="str">
        <x:v>Hydraulic</x:v>
      </x:c>
      <x:c r="C25" s="87" t="str">
        <x:v>Reservoir</x:v>
      </x:c>
      <x:c r="D25" s="88" t="n">
        <x:v>1</x:v>
      </x:c>
      <x:c r="E25" s="89" t="str"/>
      <x:c r="F25" s="89" t="str"/>
      <x:c r="G25" s="89" t="str"/>
      <x:c r="H25" s="87" t="str">
        <x:v>Below controller</x:v>
      </x:c>
      <x:c r="I25" s="89" t="str"/>
      <x:c r="J25" s="90" t="str"/>
      <x:c r="K25" s="91" t="str">
        <x:f>IF(OR(D25="",J25=""),"",D25*J25)</x:f>
      </x:c>
      <x:c r="L25" s="92" t="str"/>
      <x:c r="M25" s="87" t="str">
        <x:v>Installed</x:v>
      </x:c>
      <x:c r="N25" s="93" t="str">
        <x:v>Gallon calibration pending</x:v>
      </x:c>
    </x:row>
    <x:row r="26" ht="22" customHeight="1">
      <x:c r="A26" s="86" t="str">
        <x:v>B02-022</x:v>
      </x:c>
      <x:c r="B26" s="87" t="str">
        <x:v>Hydraulic</x:v>
      </x:c>
      <x:c r="C26" s="87" t="str">
        <x:v>Tubing / hose</x:v>
      </x:c>
      <x:c r="D26" s="88" t="n">
        <x:v>1</x:v>
      </x:c>
      <x:c r="E26" s="89" t="str"/>
      <x:c r="F26" s="89" t="str">
        <x:v>3/8 in compatible</x:v>
      </x:c>
      <x:c r="G26" s="89" t="str"/>
      <x:c r="H26" s="87" t="str">
        <x:v>Balcony baskets</x:v>
      </x:c>
      <x:c r="I26" s="89" t="str"/>
      <x:c r="J26" s="90" t="str"/>
      <x:c r="K26" s="91" t="str">
        <x:f>IF(OR(D26="",J26=""),"",D26*J26)</x:f>
      </x:c>
      <x:c r="L26" s="92" t="str"/>
      <x:c r="M26" s="87" t="str">
        <x:v>Installed</x:v>
      </x:c>
      <x:c r="N26" s="93" t="str">
        <x:v>Enter purchased length as quantity if preferred</x:v>
      </x:c>
    </x:row>
    <x:row r="27" ht="22" customHeight="1">
      <x:c r="A27" s="86" t="str">
        <x:v>B02-023</x:v>
      </x:c>
      <x:c r="B27" s="87" t="str">
        <x:v>Hydraulic</x:v>
      </x:c>
      <x:c r="C27" s="87" t="str">
        <x:v>Distribution fittings / emitters</x:v>
      </x:c>
      <x:c r="D27" s="88" t="n">
        <x:v>1</x:v>
      </x:c>
      <x:c r="E27" s="89" t="str"/>
      <x:c r="F27" s="89" t="str"/>
      <x:c r="G27" s="89" t="str"/>
      <x:c r="H27" s="87" t="str">
        <x:v>Balcony baskets</x:v>
      </x:c>
      <x:c r="I27" s="89" t="str"/>
      <x:c r="J27" s="90" t="str"/>
      <x:c r="K27" s="91" t="str">
        <x:f>IF(OR(D27="",J27=""),"",D27*J27)</x:f>
      </x:c>
      <x:c r="L27" s="92" t="str"/>
      <x:c r="M27" s="87" t="str">
        <x:v>Installed</x:v>
      </x:c>
      <x:c r="N27" s="93" t="str">
        <x:v>Expand into separate rows if pricing detail is useful</x:v>
      </x:c>
    </x:row>
    <x:row r="28" ht="22" customHeight="1">
      <x:c r="A28" s="86" t="str">
        <x:v>B02-024</x:v>
      </x:c>
      <x:c r="B28" s="87" t="str">
        <x:v>Wiring</x:v>
      </x:c>
      <x:c r="C28" s="87" t="str">
        <x:v>Sensor extension cable and connectors</x:v>
      </x:c>
      <x:c r="D28" s="88" t="n">
        <x:v>1</x:v>
      </x:c>
      <x:c r="E28" s="89" t="str"/>
      <x:c r="F28" s="89" t="str"/>
      <x:c r="G28" s="89" t="str"/>
      <x:c r="H28" s="87" t="str">
        <x:v>Controller to baskets</x:v>
      </x:c>
      <x:c r="I28" s="89" t="str"/>
      <x:c r="J28" s="90" t="str"/>
      <x:c r="K28" s="91" t="str">
        <x:f>IF(OR(D28="",J28=""),"",D28*J28)</x:f>
      </x:c>
      <x:c r="L28" s="92" t="str"/>
      <x:c r="M28" s="87" t="str">
        <x:v>Installed</x:v>
      </x:c>
      <x:c r="N28" s="93" t="str">
        <x:v>May be split by sensor/cable if detailed costing is desired</x:v>
      </x:c>
    </x:row>
    <x:row r="29" ht="22" customHeight="1">
      <x:c r="A29" s="86" t="str">
        <x:v>B02-025</x:v>
      </x:c>
      <x:c r="B29" s="87" t="str">
        <x:v>Hardware</x:v>
      </x:c>
      <x:c r="C29" s="87" t="str">
        <x:v>Cable glands</x:v>
      </x:c>
      <x:c r="D29" s="88" t="n">
        <x:v>1</x:v>
      </x:c>
      <x:c r="E29" s="89" t="str"/>
      <x:c r="F29" s="89" t="str"/>
      <x:c r="G29" s="89" t="str"/>
      <x:c r="H29" s="87" t="str">
        <x:v>Both enclosures</x:v>
      </x:c>
      <x:c r="I29" s="89" t="str"/>
      <x:c r="J29" s="90" t="str"/>
      <x:c r="K29" s="91" t="str">
        <x:f>IF(OR(D29="",J29=""),"",D29*J29)</x:f>
      </x:c>
      <x:c r="L29" s="92" t="str"/>
      <x:c r="M29" s="87" t="str">
        <x:v>Installed</x:v>
      </x:c>
      <x:c r="N29" s="93" t="str">
        <x:v>Expand by gland size/quantity</x:v>
      </x:c>
    </x:row>
    <x:row r="30" ht="22" customHeight="1">
      <x:c r="A30" s="94" t="str">
        <x:v>B02-026</x:v>
      </x:c>
      <x:c r="B30" s="95" t="str">
        <x:v>Hardware</x:v>
      </x:c>
      <x:c r="C30" s="95" t="str">
        <x:v>Mounting hardware, anchors, wire ties, and adhesive mounts</x:v>
      </x:c>
      <x:c r="D30" s="96" t="n">
        <x:v>1</x:v>
      </x:c>
      <x:c r="E30" s="97" t="str"/>
      <x:c r="F30" s="97" t="str"/>
      <x:c r="G30" s="97" t="str"/>
      <x:c r="H30" s="95" t="str">
        <x:v>Balcony installation</x:v>
      </x:c>
      <x:c r="I30" s="97" t="str"/>
      <x:c r="J30" s="98" t="str"/>
      <x:c r="K30" s="99" t="str">
        <x:f>IF(OR(D30="",J30=""),"",D30*J30)</x:f>
      </x:c>
      <x:c r="L30" s="100" t="str"/>
      <x:c r="M30" s="95" t="str">
        <x:v>Installed</x:v>
      </x:c>
      <x:c r="N30" s="101" t="str">
        <x:v>Consumables may be estimated as a lot</x:v>
      </x:c>
    </x:row>
    <x:row r="31" ht="22" customHeight="1">
      <x:c r="A31" s="102"/>
      <x:c r="B31" s="102"/>
      <x:c r="C31" s="102"/>
      <x:c r="D31" s="103"/>
      <x:c r="E31" s="104"/>
      <x:c r="F31" s="104"/>
      <x:c r="G31" s="104"/>
      <x:c r="H31" s="102"/>
      <x:c r="I31" s="104"/>
      <x:c r="J31" s="105"/>
      <x:c r="K31" s="106"/>
      <x:c r="L31" s="107"/>
      <x:c r="M31" s="102"/>
      <x:c r="N31" s="108"/>
    </x:row>
    <x:row r="32" ht="22" customHeight="1">
      <x:c r="A32" s="102"/>
      <x:c r="B32" s="102"/>
      <x:c r="C32" s="102"/>
      <x:c r="D32" s="103"/>
      <x:c r="E32" s="104"/>
      <x:c r="F32" s="104"/>
      <x:c r="G32" s="104"/>
      <x:c r="H32" s="102"/>
      <x:c r="I32" s="104"/>
      <x:c r="J32" s="105"/>
      <x:c r="K32" s="106"/>
      <x:c r="L32" s="107"/>
      <x:c r="M32" s="102"/>
      <x:c r="N32" s="108"/>
    </x:row>
    <x:row r="33" ht="22" customHeight="1">
      <x:c r="A33" s="102"/>
      <x:c r="B33" s="102"/>
      <x:c r="C33" s="102"/>
      <x:c r="D33" s="103"/>
      <x:c r="E33" s="104"/>
      <x:c r="F33" s="104"/>
      <x:c r="G33" s="104"/>
      <x:c r="H33" s="102"/>
      <x:c r="I33" s="104"/>
      <x:c r="J33" s="105"/>
      <x:c r="K33" s="106"/>
      <x:c r="L33" s="107"/>
      <x:c r="M33" s="102"/>
      <x:c r="N33" s="108"/>
    </x:row>
    <x:row r="34" ht="22" customHeight="1">
      <x:c r="A34" s="102"/>
      <x:c r="B34" s="102"/>
      <x:c r="C34" s="102"/>
      <x:c r="D34" s="103"/>
      <x:c r="E34" s="104"/>
      <x:c r="F34" s="104"/>
      <x:c r="G34" s="104"/>
      <x:c r="H34" s="102"/>
      <x:c r="I34" s="104"/>
      <x:c r="J34" s="105"/>
      <x:c r="K34" s="106"/>
      <x:c r="L34" s="107"/>
      <x:c r="M34" s="102"/>
      <x:c r="N34" s="108"/>
    </x:row>
    <x:row r="35" ht="22" customHeight="1">
      <x:c r="A35" s="102"/>
      <x:c r="B35" s="102"/>
      <x:c r="C35" s="102"/>
      <x:c r="D35" s="103"/>
      <x:c r="E35" s="104"/>
      <x:c r="F35" s="104"/>
      <x:c r="G35" s="104"/>
      <x:c r="H35" s="102"/>
      <x:c r="I35" s="104"/>
      <x:c r="J35" s="105"/>
      <x:c r="K35" s="106"/>
      <x:c r="L35" s="107"/>
      <x:c r="M35" s="102"/>
      <x:c r="N35" s="108"/>
    </x:row>
    <x:row r="36" ht="22" customHeight="1">
      <x:c r="A36" s="102"/>
      <x:c r="B36" s="102"/>
      <x:c r="C36" s="102"/>
      <x:c r="D36" s="103"/>
      <x:c r="E36" s="104"/>
      <x:c r="F36" s="104"/>
      <x:c r="G36" s="104"/>
      <x:c r="H36" s="102"/>
      <x:c r="I36" s="104"/>
      <x:c r="J36" s="105"/>
      <x:c r="K36" s="106"/>
      <x:c r="L36" s="107"/>
      <x:c r="M36" s="102"/>
      <x:c r="N36" s="108"/>
    </x:row>
    <x:row r="37" ht="22" customHeight="1">
      <x:c r="A37" s="102"/>
      <x:c r="B37" s="102"/>
      <x:c r="C37" s="102"/>
      <x:c r="D37" s="103"/>
      <x:c r="E37" s="104"/>
      <x:c r="F37" s="104"/>
      <x:c r="G37" s="104"/>
      <x:c r="H37" s="102"/>
      <x:c r="I37" s="104"/>
      <x:c r="J37" s="105"/>
      <x:c r="K37" s="106"/>
      <x:c r="L37" s="107"/>
      <x:c r="M37" s="102"/>
      <x:c r="N37" s="108"/>
    </x:row>
    <x:row r="38" ht="22" customHeight="1">
      <x:c r="A38" s="102"/>
      <x:c r="B38" s="102"/>
      <x:c r="C38" s="102"/>
      <x:c r="D38" s="103"/>
      <x:c r="E38" s="104"/>
      <x:c r="F38" s="104"/>
      <x:c r="G38" s="104"/>
      <x:c r="H38" s="102"/>
      <x:c r="I38" s="104"/>
      <x:c r="J38" s="105"/>
      <x:c r="K38" s="106"/>
      <x:c r="L38" s="107"/>
      <x:c r="M38" s="102"/>
      <x:c r="N38" s="108"/>
    </x:row>
    <x:row r="39" ht="22" customHeight="1">
      <x:c r="A39" s="102"/>
      <x:c r="B39" s="102"/>
      <x:c r="C39" s="102"/>
      <x:c r="D39" s="103"/>
      <x:c r="E39" s="104"/>
      <x:c r="F39" s="104"/>
      <x:c r="G39" s="104"/>
      <x:c r="H39" s="102"/>
      <x:c r="I39" s="104"/>
      <x:c r="J39" s="105"/>
      <x:c r="K39" s="106"/>
      <x:c r="L39" s="107"/>
      <x:c r="M39" s="102"/>
      <x:c r="N39" s="108"/>
    </x:row>
    <x:row r="40" ht="22" customHeight="1">
      <x:c r="A40" s="102"/>
      <x:c r="B40" s="102"/>
      <x:c r="C40" s="102"/>
      <x:c r="D40" s="103"/>
      <x:c r="E40" s="104"/>
      <x:c r="F40" s="104"/>
      <x:c r="G40" s="104"/>
      <x:c r="H40" s="102"/>
      <x:c r="I40" s="104"/>
      <x:c r="J40" s="105"/>
      <x:c r="K40" s="106"/>
      <x:c r="L40" s="107"/>
      <x:c r="M40" s="102"/>
      <x:c r="N40" s="108"/>
    </x:row>
    <x:row r="41" ht="22" customHeight="1">
      <x:c r="A41" s="102"/>
      <x:c r="B41" s="102"/>
      <x:c r="C41" s="102"/>
      <x:c r="D41" s="103"/>
      <x:c r="E41" s="104"/>
      <x:c r="F41" s="104"/>
      <x:c r="G41" s="104"/>
      <x:c r="H41" s="102"/>
      <x:c r="I41" s="104"/>
      <x:c r="J41" s="105"/>
      <x:c r="K41" s="106"/>
      <x:c r="L41" s="107"/>
      <x:c r="M41" s="102"/>
      <x:c r="N41" s="108"/>
    </x:row>
    <x:row r="42" ht="22" customHeight="1">
      <x:c r="A42" s="102"/>
      <x:c r="B42" s="102"/>
      <x:c r="C42" s="102"/>
      <x:c r="D42" s="103"/>
      <x:c r="E42" s="104"/>
      <x:c r="F42" s="104"/>
      <x:c r="G42" s="104"/>
      <x:c r="H42" s="102"/>
      <x:c r="I42" s="104"/>
      <x:c r="J42" s="105"/>
      <x:c r="K42" s="106"/>
      <x:c r="L42" s="107"/>
      <x:c r="M42" s="102"/>
      <x:c r="N42" s="108"/>
    </x:row>
    <x:row r="43" ht="22" customHeight="1">
      <x:c r="A43" s="102"/>
      <x:c r="B43" s="102"/>
      <x:c r="C43" s="102"/>
      <x:c r="D43" s="103"/>
      <x:c r="E43" s="104"/>
      <x:c r="F43" s="104"/>
      <x:c r="G43" s="104"/>
      <x:c r="H43" s="102"/>
      <x:c r="I43" s="104"/>
      <x:c r="J43" s="105"/>
      <x:c r="K43" s="106"/>
      <x:c r="L43" s="107"/>
      <x:c r="M43" s="102"/>
      <x:c r="N43" s="108"/>
    </x:row>
    <x:row r="44" ht="22" customHeight="1">
      <x:c r="A44" s="102"/>
      <x:c r="B44" s="102"/>
      <x:c r="C44" s="102"/>
      <x:c r="D44" s="103"/>
      <x:c r="E44" s="104"/>
      <x:c r="F44" s="104"/>
      <x:c r="G44" s="104"/>
      <x:c r="H44" s="102"/>
      <x:c r="I44" s="104"/>
      <x:c r="J44" s="105"/>
      <x:c r="K44" s="106"/>
      <x:c r="L44" s="107"/>
      <x:c r="M44" s="102"/>
      <x:c r="N44" s="108"/>
    </x:row>
    <x:row r="45" ht="22" customHeight="1">
      <x:c r="A45" s="102"/>
      <x:c r="B45" s="102"/>
      <x:c r="C45" s="102"/>
      <x:c r="D45" s="103"/>
      <x:c r="E45" s="104"/>
      <x:c r="F45" s="104"/>
      <x:c r="G45" s="104"/>
      <x:c r="H45" s="102"/>
      <x:c r="I45" s="104"/>
      <x:c r="J45" s="105"/>
      <x:c r="K45" s="106"/>
      <x:c r="L45" s="107"/>
      <x:c r="M45" s="102"/>
      <x:c r="N45" s="108"/>
    </x:row>
    <x:row r="46" ht="22" customHeight="1">
      <x:c r="A46" s="102"/>
      <x:c r="B46" s="102"/>
      <x:c r="C46" s="102"/>
      <x:c r="D46" s="103"/>
      <x:c r="E46" s="104"/>
      <x:c r="F46" s="104"/>
      <x:c r="G46" s="104"/>
      <x:c r="H46" s="102"/>
      <x:c r="I46" s="104"/>
      <x:c r="J46" s="105"/>
      <x:c r="K46" s="106"/>
      <x:c r="L46" s="107"/>
      <x:c r="M46" s="102"/>
      <x:c r="N46" s="108"/>
    </x:row>
    <x:row r="47" ht="22" customHeight="1">
      <x:c r="A47" s="102"/>
      <x:c r="B47" s="102"/>
      <x:c r="C47" s="102"/>
      <x:c r="D47" s="103"/>
      <x:c r="E47" s="104"/>
      <x:c r="F47" s="104"/>
      <x:c r="G47" s="104"/>
      <x:c r="H47" s="102"/>
      <x:c r="I47" s="104"/>
      <x:c r="J47" s="105"/>
      <x:c r="K47" s="106"/>
      <x:c r="L47" s="107"/>
      <x:c r="M47" s="102"/>
      <x:c r="N47" s="108"/>
    </x:row>
    <x:row r="48" ht="22" customHeight="1">
      <x:c r="A48" s="102"/>
      <x:c r="B48" s="102"/>
      <x:c r="C48" s="102"/>
      <x:c r="D48" s="103"/>
      <x:c r="E48" s="104"/>
      <x:c r="F48" s="104"/>
      <x:c r="G48" s="104"/>
      <x:c r="H48" s="102"/>
      <x:c r="I48" s="104"/>
      <x:c r="J48" s="105"/>
      <x:c r="K48" s="106"/>
      <x:c r="L48" s="107"/>
      <x:c r="M48" s="102"/>
      <x:c r="N48" s="108"/>
    </x:row>
    <x:row r="49" ht="22" customHeight="1">
      <x:c r="A49" s="102"/>
      <x:c r="B49" s="102"/>
      <x:c r="C49" s="102"/>
      <x:c r="D49" s="103"/>
      <x:c r="E49" s="104"/>
      <x:c r="F49" s="104"/>
      <x:c r="G49" s="104"/>
      <x:c r="H49" s="102"/>
      <x:c r="I49" s="104"/>
      <x:c r="J49" s="105"/>
      <x:c r="K49" s="106"/>
      <x:c r="L49" s="107"/>
      <x:c r="M49" s="102"/>
      <x:c r="N49" s="108"/>
    </x:row>
    <x:row r="50" ht="22" customHeight="1">
      <x:c r="A50" s="102"/>
      <x:c r="B50" s="102"/>
      <x:c r="C50" s="102"/>
      <x:c r="D50" s="103"/>
      <x:c r="E50" s="104"/>
      <x:c r="F50" s="104"/>
      <x:c r="G50" s="104"/>
      <x:c r="H50" s="102"/>
      <x:c r="I50" s="104"/>
      <x:c r="J50" s="105"/>
      <x:c r="K50" s="106"/>
      <x:c r="L50" s="107"/>
      <x:c r="M50" s="102"/>
      <x:c r="N50" s="108"/>
    </x:row>
    <x:row r="51" ht="22" customHeight="1">
      <x:c r="A51" s="102"/>
      <x:c r="B51" s="102"/>
      <x:c r="C51" s="102"/>
      <x:c r="D51" s="103"/>
      <x:c r="E51" s="104"/>
      <x:c r="F51" s="104"/>
      <x:c r="G51" s="104"/>
      <x:c r="H51" s="102"/>
      <x:c r="I51" s="104"/>
      <x:c r="J51" s="105"/>
      <x:c r="K51" s="106"/>
      <x:c r="L51" s="107"/>
      <x:c r="M51" s="102"/>
      <x:c r="N51" s="108"/>
    </x:row>
    <x:row r="52" ht="22" customHeight="1">
      <x:c r="A52" s="102"/>
      <x:c r="B52" s="102"/>
      <x:c r="C52" s="102"/>
      <x:c r="D52" s="103"/>
      <x:c r="E52" s="104"/>
      <x:c r="F52" s="104"/>
      <x:c r="G52" s="104"/>
      <x:c r="H52" s="102"/>
      <x:c r="I52" s="104"/>
      <x:c r="J52" s="105"/>
      <x:c r="K52" s="106"/>
      <x:c r="L52" s="107"/>
      <x:c r="M52" s="102"/>
      <x:c r="N52" s="108"/>
    </x:row>
    <x:row r="53" ht="22" customHeight="1">
      <x:c r="A53" s="102"/>
      <x:c r="B53" s="102"/>
      <x:c r="C53" s="102"/>
      <x:c r="D53" s="103"/>
      <x:c r="E53" s="104"/>
      <x:c r="F53" s="104"/>
      <x:c r="G53" s="104"/>
      <x:c r="H53" s="102"/>
      <x:c r="I53" s="104"/>
      <x:c r="J53" s="105"/>
      <x:c r="K53" s="106"/>
      <x:c r="L53" s="107"/>
      <x:c r="M53" s="102"/>
      <x:c r="N53" s="108"/>
    </x:row>
    <x:row r="54" ht="22" customHeight="1">
      <x:c r="A54" s="102"/>
      <x:c r="B54" s="102"/>
      <x:c r="C54" s="102"/>
      <x:c r="D54" s="103"/>
      <x:c r="E54" s="104"/>
      <x:c r="F54" s="104"/>
      <x:c r="G54" s="104"/>
      <x:c r="H54" s="102"/>
      <x:c r="I54" s="104"/>
      <x:c r="J54" s="105"/>
      <x:c r="K54" s="106"/>
      <x:c r="L54" s="107"/>
      <x:c r="M54" s="102"/>
      <x:c r="N54" s="108"/>
    </x:row>
    <x:row r="55" ht="22" customHeight="1">
      <x:c r="A55" s="102"/>
      <x:c r="B55" s="102"/>
      <x:c r="C55" s="102"/>
      <x:c r="D55" s="103"/>
      <x:c r="E55" s="104"/>
      <x:c r="F55" s="104"/>
      <x:c r="G55" s="104"/>
      <x:c r="H55" s="102"/>
      <x:c r="I55" s="104"/>
      <x:c r="J55" s="105"/>
      <x:c r="K55" s="106"/>
      <x:c r="L55" s="107"/>
      <x:c r="M55" s="102"/>
      <x:c r="N55" s="108"/>
    </x:row>
    <x:row r="56" ht="22" customHeight="1">
      <x:c r="A56" s="102"/>
      <x:c r="B56" s="102"/>
      <x:c r="C56" s="102"/>
      <x:c r="D56" s="103"/>
      <x:c r="E56" s="104"/>
      <x:c r="F56" s="104"/>
      <x:c r="G56" s="104"/>
      <x:c r="H56" s="102"/>
      <x:c r="I56" s="104"/>
      <x:c r="J56" s="105"/>
      <x:c r="K56" s="106"/>
      <x:c r="L56" s="107"/>
      <x:c r="M56" s="102"/>
      <x:c r="N56" s="108"/>
    </x:row>
    <x:row r="57" ht="22" customHeight="1">
      <x:c r="A57" s="102"/>
      <x:c r="B57" s="102"/>
      <x:c r="C57" s="102"/>
      <x:c r="D57" s="103"/>
      <x:c r="E57" s="104"/>
      <x:c r="F57" s="104"/>
      <x:c r="G57" s="104"/>
      <x:c r="H57" s="102"/>
      <x:c r="I57" s="104"/>
      <x:c r="J57" s="105"/>
      <x:c r="K57" s="106"/>
      <x:c r="L57" s="107"/>
      <x:c r="M57" s="102"/>
      <x:c r="N57" s="108"/>
    </x:row>
    <x:row r="58" ht="22" customHeight="1">
      <x:c r="A58" s="102"/>
      <x:c r="B58" s="102"/>
      <x:c r="C58" s="102"/>
      <x:c r="D58" s="103"/>
      <x:c r="E58" s="104"/>
      <x:c r="F58" s="104"/>
      <x:c r="G58" s="104"/>
      <x:c r="H58" s="102"/>
      <x:c r="I58" s="104"/>
      <x:c r="J58" s="105"/>
      <x:c r="K58" s="106"/>
      <x:c r="L58" s="107"/>
      <x:c r="M58" s="102"/>
      <x:c r="N58" s="108"/>
    </x:row>
    <x:row r="59" ht="22" customHeight="1">
      <x:c r="A59" s="102"/>
      <x:c r="B59" s="102"/>
      <x:c r="C59" s="102"/>
      <x:c r="D59" s="103"/>
      <x:c r="E59" s="104"/>
      <x:c r="F59" s="104"/>
      <x:c r="G59" s="104"/>
      <x:c r="H59" s="102"/>
      <x:c r="I59" s="104"/>
      <x:c r="J59" s="105"/>
      <x:c r="K59" s="106"/>
      <x:c r="L59" s="107"/>
      <x:c r="M59" s="102"/>
      <x:c r="N59" s="108"/>
    </x:row>
    <x:row r="60" ht="22" customHeight="1">
      <x:c r="A60" s="102"/>
      <x:c r="B60" s="102"/>
      <x:c r="C60" s="102"/>
      <x:c r="D60" s="103"/>
      <x:c r="E60" s="104"/>
      <x:c r="F60" s="104"/>
      <x:c r="G60" s="104"/>
      <x:c r="H60" s="102"/>
      <x:c r="I60" s="104"/>
      <x:c r="J60" s="105"/>
      <x:c r="K60" s="106"/>
      <x:c r="L60" s="107"/>
      <x:c r="M60" s="102"/>
      <x:c r="N60" s="108"/>
    </x:row>
    <x:row r="61" ht="22" customHeight="1">
      <x:c r="A61" s="102"/>
      <x:c r="B61" s="102"/>
      <x:c r="C61" s="102"/>
      <x:c r="D61" s="103"/>
      <x:c r="E61" s="104"/>
      <x:c r="F61" s="104"/>
      <x:c r="G61" s="104"/>
      <x:c r="H61" s="102"/>
      <x:c r="I61" s="104"/>
      <x:c r="J61" s="105"/>
      <x:c r="K61" s="106"/>
      <x:c r="L61" s="107"/>
      <x:c r="M61" s="102"/>
      <x:c r="N61" s="108"/>
    </x:row>
    <x:row r="62" ht="22" customHeight="1">
      <x:c r="A62" s="102"/>
      <x:c r="B62" s="102"/>
      <x:c r="C62" s="102"/>
      <x:c r="D62" s="103"/>
      <x:c r="E62" s="104"/>
      <x:c r="F62" s="104"/>
      <x:c r="G62" s="104"/>
      <x:c r="H62" s="102"/>
      <x:c r="I62" s="104"/>
      <x:c r="J62" s="105"/>
      <x:c r="K62" s="106"/>
      <x:c r="L62" s="107"/>
      <x:c r="M62" s="102"/>
      <x:c r="N62" s="108"/>
    </x:row>
    <x:row r="63" ht="22" customHeight="1">
      <x:c r="A63" s="102"/>
      <x:c r="B63" s="102"/>
      <x:c r="C63" s="102"/>
      <x:c r="D63" s="103"/>
      <x:c r="E63" s="104"/>
      <x:c r="F63" s="104"/>
      <x:c r="G63" s="104"/>
      <x:c r="H63" s="102"/>
      <x:c r="I63" s="104"/>
      <x:c r="J63" s="105"/>
      <x:c r="K63" s="106"/>
      <x:c r="L63" s="107"/>
      <x:c r="M63" s="102"/>
      <x:c r="N63" s="108"/>
    </x:row>
    <x:row r="64" ht="22" customHeight="1">
      <x:c r="A64" s="102"/>
      <x:c r="B64" s="102"/>
      <x:c r="C64" s="102"/>
      <x:c r="D64" s="103"/>
      <x:c r="E64" s="104"/>
      <x:c r="F64" s="104"/>
      <x:c r="G64" s="104"/>
      <x:c r="H64" s="102"/>
      <x:c r="I64" s="104"/>
      <x:c r="J64" s="105"/>
      <x:c r="K64" s="106"/>
      <x:c r="L64" s="107"/>
      <x:c r="M64" s="102"/>
      <x:c r="N64" s="108"/>
    </x:row>
    <x:row r="65" ht="22" customHeight="1">
      <x:c r="A65" s="102"/>
      <x:c r="B65" s="102"/>
      <x:c r="C65" s="102"/>
      <x:c r="D65" s="103"/>
      <x:c r="E65" s="104"/>
      <x:c r="F65" s="104"/>
      <x:c r="G65" s="104"/>
      <x:c r="H65" s="102"/>
      <x:c r="I65" s="104"/>
      <x:c r="J65" s="105"/>
      <x:c r="K65" s="106"/>
      <x:c r="L65" s="107"/>
      <x:c r="M65" s="102"/>
      <x:c r="N65" s="108"/>
    </x:row>
    <x:row r="66" ht="22" customHeight="1">
      <x:c r="A66" s="102"/>
      <x:c r="B66" s="102"/>
      <x:c r="C66" s="102"/>
      <x:c r="D66" s="103"/>
      <x:c r="E66" s="104"/>
      <x:c r="F66" s="104"/>
      <x:c r="G66" s="104"/>
      <x:c r="H66" s="102"/>
      <x:c r="I66" s="104"/>
      <x:c r="J66" s="105"/>
      <x:c r="K66" s="106"/>
      <x:c r="L66" s="107"/>
      <x:c r="M66" s="102"/>
      <x:c r="N66" s="108"/>
    </x:row>
    <x:row r="67" ht="22" customHeight="1">
      <x:c r="A67" s="102"/>
      <x:c r="B67" s="102"/>
      <x:c r="C67" s="102"/>
      <x:c r="D67" s="103"/>
      <x:c r="E67" s="104"/>
      <x:c r="F67" s="104"/>
      <x:c r="G67" s="104"/>
      <x:c r="H67" s="102"/>
      <x:c r="I67" s="104"/>
      <x:c r="J67" s="105"/>
      <x:c r="K67" s="106"/>
      <x:c r="L67" s="107"/>
      <x:c r="M67" s="102"/>
      <x:c r="N67" s="108"/>
    </x:row>
    <x:row r="68" ht="22" customHeight="1">
      <x:c r="A68" s="102"/>
      <x:c r="B68" s="102"/>
      <x:c r="C68" s="102"/>
      <x:c r="D68" s="103"/>
      <x:c r="E68" s="104"/>
      <x:c r="F68" s="104"/>
      <x:c r="G68" s="104"/>
      <x:c r="H68" s="102"/>
      <x:c r="I68" s="104"/>
      <x:c r="J68" s="105"/>
      <x:c r="K68" s="106"/>
      <x:c r="L68" s="107"/>
      <x:c r="M68" s="102"/>
      <x:c r="N68" s="108"/>
    </x:row>
    <x:row r="69" ht="22" customHeight="1">
      <x:c r="A69" s="102"/>
      <x:c r="B69" s="102"/>
      <x:c r="C69" s="102"/>
      <x:c r="D69" s="103"/>
      <x:c r="E69" s="104"/>
      <x:c r="F69" s="104"/>
      <x:c r="G69" s="104"/>
      <x:c r="H69" s="102"/>
      <x:c r="I69" s="104"/>
      <x:c r="J69" s="105"/>
      <x:c r="K69" s="106"/>
      <x:c r="L69" s="107"/>
      <x:c r="M69" s="102"/>
      <x:c r="N69" s="108"/>
    </x:row>
    <x:row r="70" ht="22" customHeight="1">
      <x:c r="A70" s="102"/>
      <x:c r="B70" s="102"/>
      <x:c r="C70" s="102"/>
      <x:c r="D70" s="103"/>
      <x:c r="E70" s="104"/>
      <x:c r="F70" s="104"/>
      <x:c r="G70" s="104"/>
      <x:c r="H70" s="102"/>
      <x:c r="I70" s="104"/>
      <x:c r="J70" s="105"/>
      <x:c r="K70" s="106"/>
      <x:c r="L70" s="107"/>
      <x:c r="M70" s="102"/>
      <x:c r="N70" s="108"/>
    </x:row>
    <x:row r="71" ht="22" customHeight="1">
      <x:c r="A71" s="102"/>
      <x:c r="B71" s="102"/>
      <x:c r="C71" s="102"/>
      <x:c r="D71" s="103"/>
      <x:c r="E71" s="104"/>
      <x:c r="F71" s="104"/>
      <x:c r="G71" s="104"/>
      <x:c r="H71" s="102"/>
      <x:c r="I71" s="104"/>
      <x:c r="J71" s="105"/>
      <x:c r="K71" s="106"/>
      <x:c r="L71" s="107"/>
      <x:c r="M71" s="102"/>
      <x:c r="N71" s="108"/>
    </x:row>
    <x:row r="72" ht="22" customHeight="1">
      <x:c r="A72" s="102"/>
      <x:c r="B72" s="102"/>
      <x:c r="C72" s="102"/>
      <x:c r="D72" s="103"/>
      <x:c r="E72" s="104"/>
      <x:c r="F72" s="104"/>
      <x:c r="G72" s="104"/>
      <x:c r="H72" s="102"/>
      <x:c r="I72" s="104"/>
      <x:c r="J72" s="105"/>
      <x:c r="K72" s="106"/>
      <x:c r="L72" s="107"/>
      <x:c r="M72" s="102"/>
      <x:c r="N72" s="108"/>
    </x:row>
    <x:row r="73" ht="22" customHeight="1">
      <x:c r="A73" s="102"/>
      <x:c r="B73" s="102"/>
      <x:c r="C73" s="102"/>
      <x:c r="D73" s="103"/>
      <x:c r="E73" s="104"/>
      <x:c r="F73" s="104"/>
      <x:c r="G73" s="104"/>
      <x:c r="H73" s="102"/>
      <x:c r="I73" s="104"/>
      <x:c r="J73" s="105"/>
      <x:c r="K73" s="106"/>
      <x:c r="L73" s="107"/>
      <x:c r="M73" s="102"/>
      <x:c r="N73" s="108"/>
    </x:row>
    <x:row r="74" ht="22" customHeight="1">
      <x:c r="A74" s="102"/>
      <x:c r="B74" s="102"/>
      <x:c r="C74" s="102"/>
      <x:c r="D74" s="103"/>
      <x:c r="E74" s="104"/>
      <x:c r="F74" s="104"/>
      <x:c r="G74" s="104"/>
      <x:c r="H74" s="102"/>
      <x:c r="I74" s="104"/>
      <x:c r="J74" s="105"/>
      <x:c r="K74" s="106"/>
      <x:c r="L74" s="107"/>
      <x:c r="M74" s="102"/>
      <x:c r="N74" s="108"/>
    </x:row>
    <x:row r="75" ht="22" customHeight="1">
      <x:c r="A75" s="102"/>
      <x:c r="B75" s="102"/>
      <x:c r="C75" s="102"/>
      <x:c r="D75" s="103"/>
      <x:c r="E75" s="104"/>
      <x:c r="F75" s="104"/>
      <x:c r="G75" s="104"/>
      <x:c r="H75" s="102"/>
      <x:c r="I75" s="104"/>
      <x:c r="J75" s="105"/>
      <x:c r="K75" s="106"/>
      <x:c r="L75" s="107"/>
      <x:c r="M75" s="102"/>
      <x:c r="N75" s="108"/>
    </x:row>
    <x:row r="76" ht="22" customHeight="1">
      <x:c r="A76" s="102"/>
      <x:c r="B76" s="102"/>
      <x:c r="C76" s="102"/>
      <x:c r="D76" s="103"/>
      <x:c r="E76" s="104"/>
      <x:c r="F76" s="104"/>
      <x:c r="G76" s="104"/>
      <x:c r="H76" s="102"/>
      <x:c r="I76" s="104"/>
      <x:c r="J76" s="105"/>
      <x:c r="K76" s="106"/>
      <x:c r="L76" s="107"/>
      <x:c r="M76" s="102"/>
      <x:c r="N76" s="108"/>
    </x:row>
    <x:row r="77" ht="22" customHeight="1">
      <x:c r="A77" s="102"/>
      <x:c r="B77" s="102"/>
      <x:c r="C77" s="102"/>
      <x:c r="D77" s="103"/>
      <x:c r="E77" s="104"/>
      <x:c r="F77" s="104"/>
      <x:c r="G77" s="104"/>
      <x:c r="H77" s="102"/>
      <x:c r="I77" s="104"/>
      <x:c r="J77" s="105"/>
      <x:c r="K77" s="106"/>
      <x:c r="L77" s="107"/>
      <x:c r="M77" s="102"/>
      <x:c r="N77" s="108"/>
    </x:row>
    <x:row r="78" ht="22" customHeight="1">
      <x:c r="A78" s="102"/>
      <x:c r="B78" s="102"/>
      <x:c r="C78" s="102"/>
      <x:c r="D78" s="103"/>
      <x:c r="E78" s="104"/>
      <x:c r="F78" s="104"/>
      <x:c r="G78" s="104"/>
      <x:c r="H78" s="102"/>
      <x:c r="I78" s="104"/>
      <x:c r="J78" s="105"/>
      <x:c r="K78" s="106"/>
      <x:c r="L78" s="107"/>
      <x:c r="M78" s="102"/>
      <x:c r="N78" s="108"/>
    </x:row>
    <x:row r="79" ht="22" customHeight="1">
      <x:c r="A79" s="102"/>
      <x:c r="B79" s="102"/>
      <x:c r="C79" s="102"/>
      <x:c r="D79" s="103"/>
      <x:c r="E79" s="104"/>
      <x:c r="F79" s="104"/>
      <x:c r="G79" s="104"/>
      <x:c r="H79" s="102"/>
      <x:c r="I79" s="104"/>
      <x:c r="J79" s="105"/>
      <x:c r="K79" s="106"/>
      <x:c r="L79" s="107"/>
      <x:c r="M79" s="102"/>
      <x:c r="N79" s="108"/>
    </x:row>
    <x:row r="80" ht="22" customHeight="1">
      <x:c r="A80" s="102"/>
      <x:c r="B80" s="102"/>
      <x:c r="C80" s="102"/>
      <x:c r="D80" s="103"/>
      <x:c r="E80" s="104"/>
      <x:c r="F80" s="104"/>
      <x:c r="G80" s="104"/>
      <x:c r="H80" s="102"/>
      <x:c r="I80" s="104"/>
      <x:c r="J80" s="105"/>
      <x:c r="K80" s="106"/>
      <x:c r="L80" s="107"/>
      <x:c r="M80" s="102"/>
      <x:c r="N80" s="108"/>
    </x:row>
    <x:row r="81" ht="22" customHeight="1">
      <x:c r="A81" s="102"/>
      <x:c r="B81" s="102"/>
      <x:c r="C81" s="102"/>
      <x:c r="D81" s="103"/>
      <x:c r="E81" s="104"/>
      <x:c r="F81" s="104"/>
      <x:c r="G81" s="104"/>
      <x:c r="H81" s="102"/>
      <x:c r="I81" s="104"/>
      <x:c r="J81" s="105"/>
      <x:c r="K81" s="106"/>
      <x:c r="L81" s="107"/>
      <x:c r="M81" s="102"/>
      <x:c r="N81" s="108"/>
    </x:row>
    <x:row r="82" ht="22" customHeight="1">
      <x:c r="A82" s="102"/>
      <x:c r="B82" s="102"/>
      <x:c r="C82" s="102"/>
      <x:c r="D82" s="103"/>
      <x:c r="E82" s="104"/>
      <x:c r="F82" s="104"/>
      <x:c r="G82" s="104"/>
      <x:c r="H82" s="102"/>
      <x:c r="I82" s="104"/>
      <x:c r="J82" s="105"/>
      <x:c r="K82" s="106"/>
      <x:c r="L82" s="107"/>
      <x:c r="M82" s="102"/>
      <x:c r="N82" s="108"/>
    </x:row>
    <x:row r="83" ht="22" customHeight="1">
      <x:c r="A83" s="102"/>
      <x:c r="B83" s="102"/>
      <x:c r="C83" s="102"/>
      <x:c r="D83" s="103"/>
      <x:c r="E83" s="104"/>
      <x:c r="F83" s="104"/>
      <x:c r="G83" s="104"/>
      <x:c r="H83" s="102"/>
      <x:c r="I83" s="104"/>
      <x:c r="J83" s="105"/>
      <x:c r="K83" s="106"/>
      <x:c r="L83" s="107"/>
      <x:c r="M83" s="102"/>
      <x:c r="N83" s="108"/>
    </x:row>
    <x:row r="84" ht="22" customHeight="1">
      <x:c r="A84" s="102"/>
      <x:c r="B84" s="102"/>
      <x:c r="C84" s="102"/>
      <x:c r="D84" s="103"/>
      <x:c r="E84" s="104"/>
      <x:c r="F84" s="104"/>
      <x:c r="G84" s="104"/>
      <x:c r="H84" s="102"/>
      <x:c r="I84" s="104"/>
      <x:c r="J84" s="105"/>
      <x:c r="K84" s="106"/>
      <x:c r="L84" s="107"/>
      <x:c r="M84" s="102"/>
      <x:c r="N84" s="108"/>
    </x:row>
    <x:row r="85" ht="22" customHeight="1">
      <x:c r="A85" s="102"/>
      <x:c r="B85" s="102"/>
      <x:c r="C85" s="102"/>
      <x:c r="D85" s="103"/>
      <x:c r="E85" s="104"/>
      <x:c r="F85" s="104"/>
      <x:c r="G85" s="104"/>
      <x:c r="H85" s="102"/>
      <x:c r="I85" s="104"/>
      <x:c r="J85" s="105"/>
      <x:c r="K85" s="106"/>
      <x:c r="L85" s="107"/>
      <x:c r="M85" s="102"/>
      <x:c r="N85" s="108"/>
    </x:row>
    <x:row r="86" ht="22" customHeight="1">
      <x:c r="A86" s="102"/>
      <x:c r="B86" s="102"/>
      <x:c r="C86" s="102"/>
      <x:c r="D86" s="103"/>
      <x:c r="E86" s="104"/>
      <x:c r="F86" s="104"/>
      <x:c r="G86" s="104"/>
      <x:c r="H86" s="102"/>
      <x:c r="I86" s="104"/>
      <x:c r="J86" s="105"/>
      <x:c r="K86" s="106"/>
      <x:c r="L86" s="107"/>
      <x:c r="M86" s="102"/>
      <x:c r="N86" s="108"/>
    </x:row>
    <x:row r="87" ht="22" customHeight="1">
      <x:c r="A87" s="102"/>
      <x:c r="B87" s="102"/>
      <x:c r="C87" s="102"/>
      <x:c r="D87" s="103"/>
      <x:c r="E87" s="104"/>
      <x:c r="F87" s="104"/>
      <x:c r="G87" s="104"/>
      <x:c r="H87" s="102"/>
      <x:c r="I87" s="104"/>
      <x:c r="J87" s="105"/>
      <x:c r="K87" s="106"/>
      <x:c r="L87" s="107"/>
      <x:c r="M87" s="102"/>
      <x:c r="N87" s="108"/>
    </x:row>
    <x:row r="88" ht="22" customHeight="1">
      <x:c r="A88" s="102"/>
      <x:c r="B88" s="102"/>
      <x:c r="C88" s="102"/>
      <x:c r="D88" s="103"/>
      <x:c r="E88" s="104"/>
      <x:c r="F88" s="104"/>
      <x:c r="G88" s="104"/>
      <x:c r="H88" s="102"/>
      <x:c r="I88" s="104"/>
      <x:c r="J88" s="105"/>
      <x:c r="K88" s="106"/>
      <x:c r="L88" s="107"/>
      <x:c r="M88" s="102"/>
      <x:c r="N88" s="108"/>
    </x:row>
    <x:row r="89" ht="22" customHeight="1">
      <x:c r="A89" s="102"/>
      <x:c r="B89" s="102"/>
      <x:c r="C89" s="102"/>
      <x:c r="D89" s="103"/>
      <x:c r="E89" s="104"/>
      <x:c r="F89" s="104"/>
      <x:c r="G89" s="104"/>
      <x:c r="H89" s="102"/>
      <x:c r="I89" s="104"/>
      <x:c r="J89" s="105"/>
      <x:c r="K89" s="106"/>
      <x:c r="L89" s="107"/>
      <x:c r="M89" s="102"/>
      <x:c r="N89" s="108"/>
    </x:row>
    <x:row r="90" ht="22" customHeight="1">
      <x:c r="A90" s="102"/>
      <x:c r="B90" s="102"/>
      <x:c r="C90" s="102"/>
      <x:c r="D90" s="103"/>
      <x:c r="E90" s="104"/>
      <x:c r="F90" s="104"/>
      <x:c r="G90" s="104"/>
      <x:c r="H90" s="102"/>
      <x:c r="I90" s="104"/>
      <x:c r="J90" s="105"/>
      <x:c r="K90" s="106"/>
      <x:c r="L90" s="107"/>
      <x:c r="M90" s="102"/>
      <x:c r="N90" s="108"/>
    </x:row>
    <x:row r="91" ht="22" customHeight="1">
      <x:c r="A91" s="102"/>
      <x:c r="B91" s="102"/>
      <x:c r="C91" s="102"/>
      <x:c r="D91" s="103"/>
      <x:c r="E91" s="104"/>
      <x:c r="F91" s="104"/>
      <x:c r="G91" s="104"/>
      <x:c r="H91" s="102"/>
      <x:c r="I91" s="104"/>
      <x:c r="J91" s="105"/>
      <x:c r="K91" s="106"/>
      <x:c r="L91" s="107"/>
      <x:c r="M91" s="102"/>
      <x:c r="N91" s="108"/>
    </x:row>
    <x:row r="92" ht="22" customHeight="1">
      <x:c r="A92" s="102"/>
      <x:c r="B92" s="102"/>
      <x:c r="C92" s="102"/>
      <x:c r="D92" s="103"/>
      <x:c r="E92" s="104"/>
      <x:c r="F92" s="104"/>
      <x:c r="G92" s="104"/>
      <x:c r="H92" s="102"/>
      <x:c r="I92" s="104"/>
      <x:c r="J92" s="105"/>
      <x:c r="K92" s="106"/>
      <x:c r="L92" s="107"/>
      <x:c r="M92" s="102"/>
      <x:c r="N92" s="108"/>
    </x:row>
    <x:row r="93" ht="22" customHeight="1">
      <x:c r="A93" s="102"/>
      <x:c r="B93" s="102"/>
      <x:c r="C93" s="102"/>
      <x:c r="D93" s="103"/>
      <x:c r="E93" s="104"/>
      <x:c r="F93" s="104"/>
      <x:c r="G93" s="104"/>
      <x:c r="H93" s="102"/>
      <x:c r="I93" s="104"/>
      <x:c r="J93" s="105"/>
      <x:c r="K93" s="106"/>
      <x:c r="L93" s="107"/>
      <x:c r="M93" s="102"/>
      <x:c r="N93" s="108"/>
    </x:row>
    <x:row r="94" ht="22" customHeight="1">
      <x:c r="A94" s="102"/>
      <x:c r="B94" s="102"/>
      <x:c r="C94" s="102"/>
      <x:c r="D94" s="103"/>
      <x:c r="E94" s="104"/>
      <x:c r="F94" s="104"/>
      <x:c r="G94" s="104"/>
      <x:c r="H94" s="102"/>
      <x:c r="I94" s="104"/>
      <x:c r="J94" s="105"/>
      <x:c r="K94" s="106"/>
      <x:c r="L94" s="107"/>
      <x:c r="M94" s="102"/>
      <x:c r="N94" s="108"/>
    </x:row>
    <x:row r="95" ht="22" customHeight="1">
      <x:c r="A95" s="102"/>
      <x:c r="B95" s="102"/>
      <x:c r="C95" s="102"/>
      <x:c r="D95" s="103"/>
      <x:c r="E95" s="104"/>
      <x:c r="F95" s="104"/>
      <x:c r="G95" s="104"/>
      <x:c r="H95" s="102"/>
      <x:c r="I95" s="104"/>
      <x:c r="J95" s="105"/>
      <x:c r="K95" s="106"/>
      <x:c r="L95" s="107"/>
      <x:c r="M95" s="102"/>
      <x:c r="N95" s="108"/>
    </x:row>
    <x:row r="96" ht="22" customHeight="1">
      <x:c r="A96" s="102"/>
      <x:c r="B96" s="102"/>
      <x:c r="C96" s="102"/>
      <x:c r="D96" s="103"/>
      <x:c r="E96" s="104"/>
      <x:c r="F96" s="104"/>
      <x:c r="G96" s="104"/>
      <x:c r="H96" s="102"/>
      <x:c r="I96" s="104"/>
      <x:c r="J96" s="105"/>
      <x:c r="K96" s="106"/>
      <x:c r="L96" s="107"/>
      <x:c r="M96" s="102"/>
      <x:c r="N96" s="108"/>
    </x:row>
    <x:row r="97" ht="22" customHeight="1">
      <x:c r="A97" s="102"/>
      <x:c r="B97" s="102"/>
      <x:c r="C97" s="102"/>
      <x:c r="D97" s="103"/>
      <x:c r="E97" s="104"/>
      <x:c r="F97" s="104"/>
      <x:c r="G97" s="104"/>
      <x:c r="H97" s="102"/>
      <x:c r="I97" s="104"/>
      <x:c r="J97" s="105"/>
      <x:c r="K97" s="106"/>
      <x:c r="L97" s="107"/>
      <x:c r="M97" s="102"/>
      <x:c r="N97" s="108"/>
    </x:row>
    <x:row r="98" ht="22" customHeight="1">
      <x:c r="A98" s="102"/>
      <x:c r="B98" s="102"/>
      <x:c r="C98" s="102"/>
      <x:c r="D98" s="103"/>
      <x:c r="E98" s="104"/>
      <x:c r="F98" s="104"/>
      <x:c r="G98" s="104"/>
      <x:c r="H98" s="102"/>
      <x:c r="I98" s="104"/>
      <x:c r="J98" s="105"/>
      <x:c r="K98" s="106"/>
      <x:c r="L98" s="107"/>
      <x:c r="M98" s="102"/>
      <x:c r="N98" s="108"/>
    </x:row>
    <x:row r="99" ht="22" customHeight="1">
      <x:c r="A99" s="102"/>
      <x:c r="B99" s="102"/>
      <x:c r="C99" s="102"/>
      <x:c r="D99" s="103"/>
      <x:c r="E99" s="104"/>
      <x:c r="F99" s="104"/>
      <x:c r="G99" s="104"/>
      <x:c r="H99" s="102"/>
      <x:c r="I99" s="104"/>
      <x:c r="J99" s="105"/>
      <x:c r="K99" s="106"/>
      <x:c r="L99" s="107"/>
      <x:c r="M99" s="102"/>
      <x:c r="N99" s="108"/>
    </x:row>
    <x:row r="100" ht="22" customHeight="1">
      <x:c r="A100" s="102"/>
      <x:c r="B100" s="102"/>
      <x:c r="C100" s="102"/>
      <x:c r="D100" s="103"/>
      <x:c r="E100" s="104"/>
      <x:c r="F100" s="104"/>
      <x:c r="G100" s="104"/>
      <x:c r="H100" s="102"/>
      <x:c r="I100" s="104"/>
      <x:c r="J100" s="105"/>
      <x:c r="K100" s="106"/>
      <x:c r="L100" s="107"/>
      <x:c r="M100" s="102"/>
      <x:c r="N100" s="108"/>
    </x:row>
    <x:row r="101" ht="22" customHeight="1">
      <x:c r="A101" s="102"/>
      <x:c r="B101" s="102"/>
      <x:c r="C101" s="102"/>
      <x:c r="D101" s="103"/>
      <x:c r="E101" s="104"/>
      <x:c r="F101" s="104"/>
      <x:c r="G101" s="104"/>
      <x:c r="H101" s="102"/>
      <x:c r="I101" s="104"/>
      <x:c r="J101" s="105"/>
      <x:c r="K101" s="106"/>
      <x:c r="L101" s="107"/>
      <x:c r="M101" s="102"/>
      <x:c r="N101" s="108"/>
    </x:row>
    <x:row r="102" ht="22" customHeight="1">
      <x:c r="A102" s="102"/>
      <x:c r="B102" s="102"/>
      <x:c r="C102" s="102"/>
      <x:c r="D102" s="103"/>
      <x:c r="E102" s="104"/>
      <x:c r="F102" s="104"/>
      <x:c r="G102" s="104"/>
      <x:c r="H102" s="102"/>
      <x:c r="I102" s="104"/>
      <x:c r="J102" s="105"/>
      <x:c r="K102" s="106"/>
      <x:c r="L102" s="107"/>
      <x:c r="M102" s="102"/>
      <x:c r="N102" s="108"/>
    </x:row>
    <x:row r="103" ht="22" customHeight="1">
      <x:c r="A103" s="102"/>
      <x:c r="B103" s="102"/>
      <x:c r="C103" s="102"/>
      <x:c r="D103" s="103"/>
      <x:c r="E103" s="104"/>
      <x:c r="F103" s="104"/>
      <x:c r="G103" s="104"/>
      <x:c r="H103" s="102"/>
      <x:c r="I103" s="104"/>
      <x:c r="J103" s="105"/>
      <x:c r="K103" s="106"/>
      <x:c r="L103" s="107"/>
      <x:c r="M103" s="102"/>
      <x:c r="N103" s="108"/>
    </x:row>
    <x:row r="104" ht="22" customHeight="1">
      <x:c r="A104" s="102"/>
      <x:c r="B104" s="102"/>
      <x:c r="C104" s="102"/>
      <x:c r="D104" s="103"/>
      <x:c r="E104" s="104"/>
      <x:c r="F104" s="104"/>
      <x:c r="G104" s="104"/>
      <x:c r="H104" s="102"/>
      <x:c r="I104" s="104"/>
      <x:c r="J104" s="105"/>
      <x:c r="K104" s="106"/>
      <x:c r="L104" s="107"/>
      <x:c r="M104" s="102"/>
      <x:c r="N104" s="108"/>
    </x:row>
  </x:sheetData>
  <x:mergeCells>
    <x:mergeCell ref="A1:N2"/>
    <x:mergeCell ref="A3:N3"/>
  </x:mergeCells>
  <x:dataValidations count="1">
    <x:dataValidation type="list" sqref="M5:M104">
      <x:formula1>"Installed,Spare,Removed,Planned"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f72861d77e43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29" hidden="0" customWidth="1"/>
    <x:col min="5" max="5" width="23" hidden="0" customWidth="1"/>
    <x:col min="6" max="6" width="28" hidden="0" customWidth="1"/>
    <x:col min="7" max="7" width="42" hidden="0" customWidth="1"/>
  </x:cols>
  <x:sheetData>
    <x:row r="1" ht="30" customHeight="1">
      <x:c r="A1" s="118" t="str">
        <x:v>Balcony02 Sensor Identity and Location Cross-Reference</x:v>
      </x:c>
      <x:c r="B1" s="118"/>
      <x:c r="C1" s="118"/>
      <x:c r="D1" s="118"/>
      <x:c r="E1" s="118"/>
      <x:c r="F1" s="118"/>
      <x:c r="G1" s="118"/>
    </x:row>
    <x:row r="2" ht="30" customHeight="1">
      <x:c r="A2" s="118"/>
      <x:c r="B2" s="118"/>
      <x:c r="C2" s="118"/>
      <x:c r="D2" s="118"/>
      <x:c r="E2" s="118"/>
      <x:c r="F2" s="118"/>
      <x:c r="G2" s="118"/>
    </x:row>
    <x:row r="3" ht="30" customHeight="1">
      <x:c r="A3" s="119" t="str">
        <x:v>Actual Location</x:v>
      </x:c>
      <x:c r="B3" s="120" t="str">
        <x:v>Function</x:v>
      </x:c>
      <x:c r="C3" s="120" t="str">
        <x:v>Physical Marking</x:v>
      </x:c>
      <x:c r="D3" s="120" t="str">
        <x:v>Firmware / Telemetry Identity</x:v>
      </x:c>
      <x:c r="E3" s="120" t="str">
        <x:v>Connection</x:v>
      </x:c>
      <x:c r="F3" s="120" t="str">
        <x:v>Customer-Facing Label</x:v>
      </x:c>
      <x:c r="G3" s="121" t="str">
        <x:v>Notes</x:v>
      </x:c>
    </x:row>
    <x:row r="4" ht="30" customHeight="1">
      <x:c r="A4" s="122" t="str">
        <x:v>Basket 1</x:v>
      </x:c>
      <x:c r="B4" s="123" t="str">
        <x:v>Ambient light</x:v>
      </x:c>
      <x:c r="C4" s="123" t="str">
        <x:v>L02</x:v>
      </x:c>
      <x:c r="D4" s="123" t="str">
        <x:v>sen0562_l01 / L01</x:v>
      </x:c>
      <x:c r="E4" s="123" t="str">
        <x:v>Mux ch1 @ 0x23</x:v>
      </x:c>
      <x:c r="F4" s="123" t="str">
        <x:v>Basket 1 Sunlight</x:v>
      </x:c>
      <x:c r="G4" s="93" t="str">
        <x:v>Basket numbers follow CAD drawing left to right</x:v>
      </x:c>
    </x:row>
    <x:row r="5" ht="30" customHeight="1">
      <x:c r="A5" s="122" t="str">
        <x:v>Basket 1</x:v>
      </x:c>
      <x:c r="B5" s="123" t="str">
        <x:v>Soil moisture</x:v>
      </x:c>
      <x:c r="C5" s="123" t="str">
        <x:v>M1</x:v>
      </x:c>
      <x:c r="D5" s="123" t="str">
        <x:v>sen0308_m01 / M01</x:v>
      </x:c>
      <x:c r="E5" s="123" t="str">
        <x:v>ADS1115 A0</x:v>
      </x:c>
      <x:c r="F5" s="123" t="str">
        <x:v>Basket 1 Soil Moisture</x:v>
      </x:c>
      <x:c r="G5" s="93" t="str">
        <x:v>Raw ADC until field evaluation supports interpretation</x:v>
      </x:c>
    </x:row>
    <x:row r="6" ht="30" customHeight="1">
      <x:c r="A6" s="122" t="str">
        <x:v>Basket 3</x:v>
      </x:c>
      <x:c r="B6" s="123" t="str">
        <x:v>Ambient light</x:v>
      </x:c>
      <x:c r="C6" s="123" t="str">
        <x:v>L03</x:v>
      </x:c>
      <x:c r="D6" s="123" t="str">
        <x:v>sen0562_l02 / L02</x:v>
      </x:c>
      <x:c r="E6" s="123" t="str">
        <x:v>Mux ch2 @ 0x23</x:v>
      </x:c>
      <x:c r="F6" s="123" t="str">
        <x:v>Basket 3 Sunlight</x:v>
      </x:c>
      <x:c r="G6" s="93" t="str"/>
    </x:row>
    <x:row r="7" ht="30" customHeight="1">
      <x:c r="A7" s="122" t="str">
        <x:v>Basket 3</x:v>
      </x:c>
      <x:c r="B7" s="123" t="str">
        <x:v>Soil moisture</x:v>
      </x:c>
      <x:c r="C7" s="123" t="str">
        <x:v>M4</x:v>
      </x:c>
      <x:c r="D7" s="123" t="str">
        <x:v>sen0308_m02 / M02</x:v>
      </x:c>
      <x:c r="E7" s="123" t="str">
        <x:v>ADS1115 A1</x:v>
      </x:c>
      <x:c r="F7" s="123" t="str">
        <x:v>Basket 3 Soil Moisture</x:v>
      </x:c>
      <x:c r="G7" s="93" t="str"/>
    </x:row>
    <x:row r="8" ht="30" customHeight="1">
      <x:c r="A8" s="122" t="str">
        <x:v>Basket 3</x:v>
      </x:c>
      <x:c r="B8" s="123" t="str">
        <x:v>Soil temperature</x:v>
      </x:c>
      <x:c r="C8" s="123" t="str">
        <x:v>ST04</x:v>
      </x:c>
      <x:c r="D8" s="123" t="str">
        <x:v>ds18b20_temperature / ST</x:v>
      </x:c>
      <x:c r="E8" s="123" t="str">
        <x:v>OneWire GPIO27</x:v>
      </x:c>
      <x:c r="F8" s="123" t="str">
        <x:v>Basket 3 Soil Temperature</x:v>
      </x:c>
      <x:c r="G8" s="93" t="str">
        <x:v>Intermittent missing readings remain under investigation</x:v>
      </x:c>
    </x:row>
    <x:row r="9" ht="30" customHeight="1">
      <x:c r="A9" s="122" t="str">
        <x:v>Basket 6</x:v>
      </x:c>
      <x:c r="B9" s="123" t="str">
        <x:v>Ambient light</x:v>
      </x:c>
      <x:c r="C9" s="123" t="str">
        <x:v>L01</x:v>
      </x:c>
      <x:c r="D9" s="123" t="str">
        <x:v>sen0562_l03 / L03</x:v>
      </x:c>
      <x:c r="E9" s="123" t="str">
        <x:v>Mux ch3 @ 0x23</x:v>
      </x:c>
      <x:c r="F9" s="123" t="str">
        <x:v>Basket 6 Sunlight</x:v>
      </x:c>
      <x:c r="G9" s="93" t="str"/>
    </x:row>
    <x:row r="10" ht="30" customHeight="1">
      <x:c r="A10" s="122" t="str">
        <x:v>Basket 6</x:v>
      </x:c>
      <x:c r="B10" s="123" t="str">
        <x:v>Soil moisture</x:v>
      </x:c>
      <x:c r="C10" s="123" t="str">
        <x:v>M3</x:v>
      </x:c>
      <x:c r="D10" s="123" t="str">
        <x:v>sen0308_m03 / M03</x:v>
      </x:c>
      <x:c r="E10" s="123" t="str">
        <x:v>ADS1115 A2</x:v>
      </x:c>
      <x:c r="F10" s="123" t="str">
        <x:v>Basket 6 Soil Moisture</x:v>
      </x:c>
      <x:c r="G10" s="93" t="str"/>
    </x:row>
    <x:row r="11" ht="30" customHeight="1">
      <x:c r="A11" s="122" t="str">
        <x:v>Near controller</x:v>
      </x:c>
      <x:c r="B11" s="123" t="str">
        <x:v>Air conditions</x:v>
      </x:c>
      <x:c r="C11" s="123" t="str">
        <x:v>Red PCB edges</x:v>
      </x:c>
      <x:c r="D11" s="123" t="str">
        <x:v>bme280_air</x:v>
      </x:c>
      <x:c r="E11" s="123" t="str">
        <x:v>Mux ch4 @ 0x76</x:v>
      </x:c>
      <x:c r="F11" s="123" t="str">
        <x:v>Balcony Air Conditions</x:v>
      </x:c>
      <x:c r="G11" s="93" t="str">
        <x:v>Replacement BME installed August 11, 2026</x:v>
      </x:c>
    </x:row>
    <x:row r="12" ht="30" customHeight="1">
      <x:c r="A12" s="124" t="str">
        <x:v>Reservoir</x:v>
      </x:c>
      <x:c r="B12" s="125" t="str">
        <x:v>Water availability</x:v>
      </x:c>
      <x:c r="C12" s="125" t="str">
        <x:v>Unlabeled</x:v>
      </x:c>
      <x:c r="D12" s="125" t="str">
        <x:v>sen0204_wl01 / WL01</x:v>
      </x:c>
      <x:c r="E12" s="125" t="str">
        <x:v>GPIO26; HIGH=liquid</x:v>
      </x:c>
      <x:c r="F12" s="125" t="str">
        <x:v>Reservoir Water Available</x:v>
      </x:c>
      <x:c r="G12" s="101" t="str">
        <x:v>Final elevation optimization pending natural drawdown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e90fa7a5a5d643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26" t="str">
        <x:v>Status</x:v>
      </x:c>
      <x:c r="B1" s="126" t="str">
        <x:v>Category</x:v>
      </x:c>
      <x:c r="C1" s="126" t="str">
        <x:v>Additional Categories</x:v>
      </x:c>
    </x:row>
    <x:row r="2">
      <x:c r="A2" s="34" t="str">
        <x:v>Installed</x:v>
      </x:c>
      <x:c r="B2" s="34" t="str">
        <x:v>Controller</x:v>
      </x:c>
      <x:c r="C2" s="34" t="str">
        <x:v>Enclosure</x:v>
      </x:c>
    </x:row>
    <x:row r="3">
      <x:c r="A3" s="34" t="str">
        <x:v>Spare</x:v>
      </x:c>
      <x:c r="B3" s="34" t="str">
        <x:v>Sensor</x:v>
      </x:c>
      <x:c r="C3" s="34" t="str">
        <x:v>Wiring</x:v>
      </x:c>
    </x:row>
    <x:row r="4">
      <x:c r="A4" s="34" t="str">
        <x:v>Removed</x:v>
      </x:c>
      <x:c r="B4" s="34" t="str">
        <x:v>Control</x:v>
      </x:c>
      <x:c r="C4" s="34" t="str">
        <x:v>Hardware</x:v>
      </x:c>
    </x:row>
    <x:row r="5">
      <x:c r="A5" s="34"/>
      <x:c r="B5" s="34" t="str">
        <x:v>Power</x:v>
      </x:c>
      <x:c r="C5" s="34"/>
    </x:row>
    <x:row r="6">
      <x:c r="A6" s="34"/>
      <x:c r="B6" s="34" t="str">
        <x:v>Hydraulic</x:v>
      </x:c>
      <x:c r="C6" s="34"/>
    </x:row>
  </x:sheetData>
  <x:pageMargins left="0.7" right="0.7" top="0.75" bottom="0.75" header="0.3" footer="0.3"/>
</x:worksheet>
</file>